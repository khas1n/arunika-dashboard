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si" sheetId="1" r:id="rId5"/>
    <sheet state="visible" name="Konfigurasi" sheetId="2" r:id="rId6"/>
    <sheet state="visible" name="Master - Pakan" sheetId="3" r:id="rId7"/>
    <sheet state="visible" name="Kolam A3" sheetId="4" r:id="rId8"/>
    <sheet state="visible" name="Kolam B3" sheetId="5" r:id="rId9"/>
    <sheet state="visible" name="Kolam C3" sheetId="6" r:id="rId10"/>
    <sheet state="visible" name="Kolam D3  Heru" sheetId="7" r:id="rId11"/>
    <sheet state="visible" name="Kolam A6" sheetId="8" r:id="rId12"/>
    <sheet state="visible" name="Kolam B6" sheetId="9" r:id="rId13"/>
    <sheet state="visible" name="Kolam C6" sheetId="10" r:id="rId14"/>
    <sheet state="visible" name="Kolam D6" sheetId="11" r:id="rId15"/>
    <sheet state="visible" name="Sheet8" sheetId="12" r:id="rId16"/>
  </sheets>
  <definedNames/>
  <calcPr/>
</workbook>
</file>

<file path=xl/sharedStrings.xml><?xml version="1.0" encoding="utf-8"?>
<sst xmlns="http://schemas.openxmlformats.org/spreadsheetml/2006/main" count="557" uniqueCount="103">
  <si>
    <t>Table Referensi Feeding Rate</t>
  </si>
  <si>
    <t>Dosis Vitamin C</t>
  </si>
  <si>
    <t>Pakan</t>
  </si>
  <si>
    <t>gram</t>
  </si>
  <si>
    <t>Min Berat (g)</t>
  </si>
  <si>
    <t>Max Berat (g)</t>
  </si>
  <si>
    <t>FR Min (%)</t>
  </si>
  <si>
    <t>FR Max (%)</t>
  </si>
  <si>
    <t>Vitamin C</t>
  </si>
  <si>
    <t>Vitamin B</t>
  </si>
  <si>
    <t>Lysin</t>
  </si>
  <si>
    <t>Asam Amino</t>
  </si>
  <si>
    <t>A3</t>
  </si>
  <si>
    <t>B3</t>
  </si>
  <si>
    <t>C3</t>
  </si>
  <si>
    <t>D3 (Heru)</t>
  </si>
  <si>
    <t>A6</t>
  </si>
  <si>
    <t>B6</t>
  </si>
  <si>
    <t>C6</t>
  </si>
  <si>
    <t>D6</t>
  </si>
  <si>
    <t>Tipe Aerator</t>
  </si>
  <si>
    <t>Diffuser</t>
  </si>
  <si>
    <t>Uniring</t>
  </si>
  <si>
    <t>Molase</t>
  </si>
  <si>
    <t>No</t>
  </si>
  <si>
    <t>Yes</t>
  </si>
  <si>
    <t>Basilus</t>
  </si>
  <si>
    <t>Kepadatan (ekor/m3)</t>
  </si>
  <si>
    <t>Volume Air (m3)</t>
  </si>
  <si>
    <t>Populasi (ekor)</t>
  </si>
  <si>
    <t>Biomasa Bibit (gr/ekor)</t>
  </si>
  <si>
    <t>Total Biomasa (gram)</t>
  </si>
  <si>
    <t>Puasa</t>
  </si>
  <si>
    <t>5:1</t>
  </si>
  <si>
    <t>6:1</t>
  </si>
  <si>
    <t>Merek Pakan</t>
  </si>
  <si>
    <t>Safir</t>
  </si>
  <si>
    <t>Probiotik Tambahan</t>
  </si>
  <si>
    <t>Vit. C</t>
  </si>
  <si>
    <t>Vit.C + Jamu</t>
  </si>
  <si>
    <t>Jamu</t>
  </si>
  <si>
    <t>-</t>
  </si>
  <si>
    <t>0.15 gram vitamin C / KG Pakan</t>
  </si>
  <si>
    <t>PENCATATAN KOLAM A</t>
  </si>
  <si>
    <t>Tanggal Tebar</t>
  </si>
  <si>
    <t>Asal Bibit</t>
  </si>
  <si>
    <t>Jumlah Bibit</t>
  </si>
  <si>
    <t>Biomasa Awal</t>
  </si>
  <si>
    <t>Protein</t>
  </si>
  <si>
    <t>Total Kematian</t>
  </si>
  <si>
    <t>Total Pakan</t>
  </si>
  <si>
    <t>Carbon</t>
  </si>
  <si>
    <t>Populasi Saat Ini</t>
  </si>
  <si>
    <t>Total Biomasa</t>
  </si>
  <si>
    <t>Nitrogen</t>
  </si>
  <si>
    <t>Survival Rate (SR)</t>
  </si>
  <si>
    <t>FCR</t>
  </si>
  <si>
    <t>Feeding Rate</t>
  </si>
  <si>
    <t>FR</t>
  </si>
  <si>
    <t>DOC</t>
  </si>
  <si>
    <t>Berat Rata-Rata
(gr)</t>
  </si>
  <si>
    <t>FR (%)</t>
  </si>
  <si>
    <t>Kematian</t>
  </si>
  <si>
    <t>Populasi</t>
  </si>
  <si>
    <t>Biomassa
(gr)</t>
  </si>
  <si>
    <t>Feeding Rate
(gr)</t>
  </si>
  <si>
    <t>CN Ratio</t>
  </si>
  <si>
    <t>Intensitas
Flok</t>
  </si>
  <si>
    <t>PH</t>
  </si>
  <si>
    <t>TDS</t>
  </si>
  <si>
    <t>DO</t>
  </si>
  <si>
    <t>Temp</t>
  </si>
  <si>
    <t>Actual Pakan</t>
  </si>
  <si>
    <t>Additional Treatment</t>
  </si>
  <si>
    <t>Min</t>
  </si>
  <si>
    <t>Max</t>
  </si>
  <si>
    <t>N</t>
  </si>
  <si>
    <t>C</t>
  </si>
  <si>
    <t>Berat (gr)</t>
  </si>
  <si>
    <t>PENCATATAN KOLAM A3</t>
  </si>
  <si>
    <t>20-Sept-2026</t>
  </si>
  <si>
    <t>Kang Ipey - Subang</t>
  </si>
  <si>
    <t>Note:</t>
  </si>
  <si>
    <t>Tanpa Molase, gunakan gostrong &amp; Aquacell</t>
  </si>
  <si>
    <t>Volume Kolam (M3)</t>
  </si>
  <si>
    <t>Gostrong &amp; Aquacell</t>
  </si>
  <si>
    <t>Gostrong &amp; Aquacell &amp; Vit C</t>
  </si>
  <si>
    <t>PENCATATAN KOLAM B3</t>
  </si>
  <si>
    <t>781</t>
  </si>
  <si>
    <t>Gostrong + Aquacell</t>
  </si>
  <si>
    <t>PENCATATAN KOLAM C3</t>
  </si>
  <si>
    <t>24-Sept-2026</t>
  </si>
  <si>
    <t>Cibinong</t>
  </si>
  <si>
    <t>PENCATATAN KOLAM D3/HERU</t>
  </si>
  <si>
    <t>PENCATATAN KOLAM A6</t>
  </si>
  <si>
    <t>20-Sept-26</t>
  </si>
  <si>
    <t>Molase + Basilus</t>
  </si>
  <si>
    <t>PENCATATAN KOLAM B6</t>
  </si>
  <si>
    <t>22-Sept-2026</t>
  </si>
  <si>
    <t>PENCATATAN KOLAM C6</t>
  </si>
  <si>
    <t>PENCATATAN KOLAM D6</t>
  </si>
  <si>
    <t xml:space="preserve">Total Kematian </t>
  </si>
  <si>
    <t>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</si>
</sst>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0.0"/>
    <numFmt numFmtId="166" formatCode="d&quot;-&quot;mmm&quot;-&quot;yyyy"/>
    <numFmt numFmtId="167" formatCode="d&quot;-&quot;mmm"/>
    <numFmt numFmtId="168" formatCode="0.0%"/>
    <numFmt numFmtId="169" formatCode="d-mmm-yy"/>
    <numFmt numFmtId="170" formatCode="M/d/yyyy"/>
  </numFmts>
  <fonts count="14">
    <font>
      <sz val="10.0"/>
      <color rgb="FF000000"/>
      <name val="Arial"/>
      <scheme val="minor"/>
    </font>
    <font>
      <color theme="1"/>
      <name val="Raleway"/>
    </font>
    <font>
      <b/>
      <color theme="1"/>
      <name val="Raleway"/>
    </font>
    <font/>
    <font>
      <color theme="1"/>
      <name val="Candara"/>
    </font>
    <font>
      <b/>
      <color theme="1"/>
      <name val="Candara"/>
    </font>
    <font>
      <b/>
      <sz val="12.0"/>
      <color theme="1"/>
      <name val="Raleway"/>
    </font>
    <font>
      <b/>
      <color rgb="FFFF0000"/>
      <name val="Raleway"/>
    </font>
    <font>
      <b/>
      <sz val="12.0"/>
      <color rgb="FFFF0000"/>
      <name val="Raleway"/>
    </font>
    <font>
      <color rgb="FF000000"/>
      <name val="Raleway"/>
    </font>
    <font>
      <b/>
      <sz val="11.0"/>
      <color rgb="FFFF0000"/>
      <name val="Raleway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readingOrder="0"/>
    </xf>
    <xf borderId="4" fillId="0" fontId="2" numFmtId="0" xfId="0" applyAlignment="1" applyBorder="1" applyFont="1">
      <alignment horizontal="center" readingOrder="0"/>
    </xf>
    <xf borderId="4" fillId="0" fontId="1" numFmtId="4" xfId="0" applyBorder="1" applyFont="1" applyNumberFormat="1"/>
    <xf borderId="4" fillId="0" fontId="1" numFmtId="9" xfId="0" applyAlignment="1" applyBorder="1" applyFont="1" applyNumberFormat="1">
      <alignment readingOrder="0"/>
    </xf>
    <xf borderId="0" fillId="0" fontId="1" numFmtId="9" xfId="0" applyFont="1" applyNumberFormat="1"/>
    <xf borderId="4" fillId="0" fontId="1" numFmtId="164" xfId="0" applyBorder="1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4" numFmtId="0" xfId="0" applyFont="1"/>
    <xf borderId="4" fillId="0" fontId="4" numFmtId="0" xfId="0" applyAlignment="1" applyBorder="1" applyFont="1">
      <alignment vertical="bottom"/>
    </xf>
    <xf borderId="4" fillId="2" fontId="5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4" fillId="4" fontId="5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3" xfId="0" applyAlignment="1" applyBorder="1" applyFont="1" applyNumberFormat="1">
      <alignment horizontal="right" vertical="bottom"/>
    </xf>
    <xf borderId="4" fillId="5" fontId="4" numFmtId="3" xfId="0" applyAlignment="1" applyBorder="1" applyFill="1" applyFont="1" applyNumberFormat="1">
      <alignment horizontal="right" vertical="bottom"/>
    </xf>
    <xf borderId="4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1" numFmtId="3" xfId="0" applyFont="1" applyNumberFormat="1"/>
    <xf borderId="0" fillId="0" fontId="1" numFmtId="165" xfId="0" applyFont="1" applyNumberFormat="1"/>
    <xf borderId="0" fillId="0" fontId="6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4" fillId="6" fontId="2" numFmtId="3" xfId="0" applyAlignment="1" applyBorder="1" applyFill="1" applyFont="1" applyNumberFormat="1">
      <alignment readingOrder="0"/>
    </xf>
    <xf borderId="4" fillId="0" fontId="1" numFmtId="0" xfId="0" applyBorder="1" applyFont="1"/>
    <xf borderId="4" fillId="6" fontId="2" numFmtId="165" xfId="0" applyAlignment="1" applyBorder="1" applyFill="1" applyFont="1" applyNumberFormat="1">
      <alignment vertical="bottom"/>
    </xf>
    <xf borderId="4" fillId="0" fontId="2" numFmtId="165" xfId="0" applyAlignment="1" applyBorder="1" applyFont="1" applyNumberFormat="1">
      <alignment readingOrder="0" vertical="bottom"/>
    </xf>
    <xf borderId="1" fillId="6" fontId="2" numFmtId="0" xfId="0" applyAlignment="1" applyBorder="1" applyFill="1" applyFont="1">
      <alignment readingOrder="0"/>
    </xf>
    <xf borderId="4" fillId="6" fontId="2" numFmtId="0" xfId="0" applyAlignment="1" applyBorder="1" applyFill="1" applyFont="1">
      <alignment readingOrder="0"/>
    </xf>
    <xf borderId="4" fillId="0" fontId="1" numFmtId="3" xfId="0" applyBorder="1" applyFont="1" applyNumberFormat="1"/>
    <xf borderId="4" fillId="6" fontId="2" numFmtId="165" xfId="0" applyAlignment="1" applyBorder="1" applyFill="1" applyFont="1" applyNumberFormat="1">
      <alignment readingOrder="0"/>
    </xf>
    <xf borderId="4" fillId="0" fontId="2" numFmtId="0" xfId="0" applyAlignment="1" applyBorder="1" applyFont="1">
      <alignment readingOrder="0"/>
    </xf>
    <xf borderId="4" fillId="4" fontId="1" numFmtId="3" xfId="0" applyAlignment="1" applyBorder="1" applyFill="1" applyFont="1" applyNumberFormat="1">
      <alignment readingOrder="0"/>
    </xf>
    <xf borderId="4" fillId="7" fontId="1" numFmtId="164" xfId="0" applyBorder="1" applyFill="1" applyFont="1" applyNumberFormat="1"/>
    <xf borderId="4" fillId="4" fontId="1" numFmtId="9" xfId="0" applyAlignment="1" applyBorder="1" applyFill="1" applyFont="1" applyNumberFormat="1">
      <alignment readingOrder="0"/>
    </xf>
    <xf borderId="4" fillId="7" fontId="1" numFmtId="3" xfId="0" applyBorder="1" applyFill="1" applyFont="1" applyNumberFormat="1"/>
    <xf borderId="4" fillId="0" fontId="7" numFmtId="3" xfId="0" applyBorder="1" applyFont="1" applyNumberFormat="1"/>
    <xf borderId="4" fillId="0" fontId="1" numFmtId="9" xfId="0" applyBorder="1" applyFont="1" applyNumberFormat="1"/>
    <xf borderId="5" fillId="8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5" fillId="8" fontId="2" numFmtId="3" xfId="0" applyAlignment="1" applyBorder="1" applyFill="1" applyFont="1" applyNumberFormat="1">
      <alignment horizontal="center" readingOrder="0" shrinkToFit="0" vertical="center" wrapText="1"/>
    </xf>
    <xf borderId="6" fillId="0" fontId="3" numFmtId="0" xfId="0" applyBorder="1" applyFont="1"/>
    <xf borderId="4" fillId="8" fontId="2" numFmtId="0" xfId="0" applyAlignment="1" applyBorder="1" applyFill="1" applyFont="1">
      <alignment horizontal="center" readingOrder="0" shrinkToFit="0" vertical="center" wrapText="1"/>
    </xf>
    <xf borderId="4" fillId="8" fontId="2" numFmtId="165" xfId="0" applyAlignment="1" applyBorder="1" applyFill="1" applyFont="1" applyNumberFormat="1">
      <alignment horizontal="center" readingOrder="0" shrinkToFit="0" vertical="center" wrapText="1"/>
    </xf>
    <xf borderId="4" fillId="0" fontId="1" numFmtId="2" xfId="0" applyBorder="1" applyFont="1" applyNumberFormat="1"/>
    <xf borderId="4" fillId="0" fontId="1" numFmtId="165" xfId="0" applyBorder="1" applyFont="1" applyNumberFormat="1"/>
    <xf borderId="0" fillId="0" fontId="1" numFmtId="167" xfId="0" applyFont="1" applyNumberFormat="1"/>
    <xf borderId="4" fillId="7" fontId="1" numFmtId="9" xfId="0" applyBorder="1" applyFill="1" applyFont="1" applyNumberFormat="1"/>
    <xf borderId="4" fillId="7" fontId="1" numFmtId="2" xfId="0" applyBorder="1" applyFill="1" applyFont="1" applyNumberFormat="1"/>
    <xf borderId="4" fillId="7" fontId="1" numFmtId="165" xfId="0" applyBorder="1" applyFill="1" applyFont="1" applyNumberFormat="1"/>
    <xf borderId="4" fillId="9" fontId="2" numFmtId="0" xfId="0" applyAlignment="1" applyBorder="1" applyFill="1" applyFont="1">
      <alignment readingOrder="0"/>
    </xf>
    <xf borderId="4" fillId="10" fontId="2" numFmtId="0" xfId="0" applyAlignment="1" applyBorder="1" applyFill="1" applyFont="1">
      <alignment readingOrder="0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4" fillId="7" fontId="9" numFmtId="3" xfId="0" applyBorder="1" applyFill="1" applyFont="1" applyNumberFormat="1"/>
    <xf borderId="0" fillId="0" fontId="7" numFmtId="165" xfId="0" applyAlignment="1" applyFont="1" applyNumberFormat="1">
      <alignment readingOrder="0"/>
    </xf>
    <xf borderId="4" fillId="4" fontId="1" numFmtId="168" xfId="0" applyAlignment="1" applyBorder="1" applyFill="1" applyFont="1" applyNumberFormat="1">
      <alignment readingOrder="0"/>
    </xf>
    <xf borderId="0" fillId="0" fontId="10" numFmtId="165" xfId="0" applyAlignment="1" applyFont="1" applyNumberFormat="1">
      <alignment readingOrder="0"/>
    </xf>
    <xf borderId="4" fillId="0" fontId="1" numFmtId="0" xfId="0" applyAlignment="1" applyBorder="1" applyFont="1">
      <alignment shrinkToFit="0" wrapText="1"/>
    </xf>
    <xf borderId="0" fillId="0" fontId="1" numFmtId="167" xfId="0" applyAlignment="1" applyFont="1" applyNumberFormat="1">
      <alignment readingOrder="0"/>
    </xf>
    <xf borderId="4" fillId="11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 shrinkToFit="0" wrapText="1"/>
    </xf>
    <xf borderId="4" fillId="11" fontId="1" numFmtId="9" xfId="0" applyBorder="1" applyFill="1" applyFont="1" applyNumberFormat="1"/>
    <xf borderId="4" fillId="11" fontId="1" numFmtId="3" xfId="0" applyAlignment="1" applyBorder="1" applyFill="1" applyFont="1" applyNumberFormat="1">
      <alignment readingOrder="0"/>
    </xf>
    <xf borderId="4" fillId="11" fontId="1" numFmtId="3" xfId="0" applyBorder="1" applyFill="1" applyFont="1" applyNumberFormat="1"/>
    <xf borderId="4" fillId="11" fontId="1" numFmtId="165" xfId="0" applyBorder="1" applyFill="1" applyFont="1" applyNumberFormat="1"/>
    <xf borderId="4" fillId="11" fontId="1" numFmtId="0" xfId="0" applyBorder="1" applyFill="1" applyFont="1"/>
    <xf borderId="4" fillId="11" fontId="1" numFmtId="0" xfId="0" applyAlignment="1" applyBorder="1" applyFill="1" applyFont="1">
      <alignment shrinkToFit="0" wrapText="1"/>
    </xf>
    <xf borderId="4" fillId="12" fontId="1" numFmtId="0" xfId="0" applyAlignment="1" applyBorder="1" applyFill="1" applyFont="1">
      <alignment readingOrder="0"/>
    </xf>
    <xf borderId="4" fillId="12" fontId="1" numFmtId="9" xfId="0" applyBorder="1" applyFill="1" applyFont="1" applyNumberFormat="1"/>
    <xf borderId="4" fillId="12" fontId="1" numFmtId="3" xfId="0" applyAlignment="1" applyBorder="1" applyFill="1" applyFont="1" applyNumberFormat="1">
      <alignment readingOrder="0"/>
    </xf>
    <xf borderId="4" fillId="12" fontId="1" numFmtId="3" xfId="0" applyBorder="1" applyFill="1" applyFont="1" applyNumberFormat="1"/>
    <xf borderId="4" fillId="12" fontId="1" numFmtId="2" xfId="0" applyBorder="1" applyFill="1" applyFont="1" applyNumberFormat="1"/>
    <xf borderId="4" fillId="12" fontId="1" numFmtId="165" xfId="0" applyBorder="1" applyFill="1" applyFont="1" applyNumberFormat="1"/>
    <xf borderId="4" fillId="12" fontId="1" numFmtId="0" xfId="0" applyBorder="1" applyFill="1" applyFont="1"/>
    <xf borderId="4" fillId="12" fontId="1" numFmtId="0" xfId="0" applyAlignment="1" applyBorder="1" applyFill="1" applyFont="1">
      <alignment shrinkToFit="0" wrapText="1"/>
    </xf>
    <xf borderId="4" fillId="12" fontId="1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0" fontId="1" numFmtId="169" xfId="0" applyAlignment="1" applyBorder="1" applyFont="1" applyNumberFormat="1">
      <alignment readingOrder="0"/>
    </xf>
    <xf borderId="4" fillId="0" fontId="2" numFmtId="49" xfId="0" applyAlignment="1" applyBorder="1" applyFont="1" applyNumberFormat="1">
      <alignment readingOrder="0" vertical="bottom"/>
    </xf>
    <xf borderId="4" fillId="11" fontId="1" numFmtId="2" xfId="0" applyBorder="1" applyFill="1" applyFont="1" applyNumberFormat="1"/>
    <xf borderId="4" fillId="0" fontId="1" numFmtId="166" xfId="0" applyAlignment="1" applyBorder="1" applyFont="1" applyNumberFormat="1">
      <alignment readingOrder="0"/>
    </xf>
    <xf borderId="4" fillId="0" fontId="1" numFmtId="170" xfId="0" applyBorder="1" applyFont="1" applyNumberFormat="1"/>
    <xf borderId="1" fillId="13" fontId="12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170" xfId="0" applyAlignment="1" applyFont="1" applyNumberFormat="1">
      <alignment readingOrder="0"/>
    </xf>
    <xf borderId="4" fillId="0" fontId="12" numFmtId="0" xfId="0" applyAlignment="1" applyBorder="1" applyFont="1">
      <alignment readingOrder="0"/>
    </xf>
    <xf borderId="0" fillId="0" fontId="13" numFmtId="167" xfId="0" applyAlignment="1" applyFont="1" applyNumberFormat="1">
      <alignment readingOrder="0"/>
    </xf>
    <xf borderId="0" fillId="0" fontId="13" numFmtId="3" xfId="0" applyFont="1" applyNumberFormat="1"/>
    <xf borderId="4" fillId="0" fontId="13" numFmtId="3" xfId="0" applyBorder="1" applyFont="1" applyNumberFormat="1"/>
    <xf borderId="4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Kematian September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Sheet8!$C$2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Sheet8!$C$3:$C$13</c:f>
              <c:numCache/>
            </c:numRef>
          </c:val>
          <c:smooth val="1"/>
        </c:ser>
        <c:ser>
          <c:idx val="1"/>
          <c:order val="1"/>
          <c:tx>
            <c:strRef>
              <c:f>Sheet8!$D$2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Sheet8!$D$3:$D$13</c:f>
              <c:numCache/>
            </c:numRef>
          </c:val>
          <c:smooth val="1"/>
        </c:ser>
        <c:ser>
          <c:idx val="2"/>
          <c:order val="2"/>
          <c:tx>
            <c:strRef>
              <c:f>Sheet8!$E$2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Sheet8!$E$3:$E$13</c:f>
              <c:numCache/>
            </c:numRef>
          </c:val>
          <c:smooth val="1"/>
        </c:ser>
        <c:ser>
          <c:idx val="3"/>
          <c:order val="3"/>
          <c:tx>
            <c:strRef>
              <c:f>Sheet8!$F$2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Sheet8!$F$3:$F$13</c:f>
              <c:numCache/>
            </c:numRef>
          </c:val>
          <c:smooth val="1"/>
        </c:ser>
        <c:ser>
          <c:idx val="4"/>
          <c:order val="4"/>
          <c:tx>
            <c:strRef>
              <c:f>Sheet8!$G$2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Sheet8!$G$3:$G$13</c:f>
              <c:numCache/>
            </c:numRef>
          </c:val>
          <c:smooth val="1"/>
        </c:ser>
        <c:ser>
          <c:idx val="5"/>
          <c:order val="5"/>
          <c:tx>
            <c:strRef>
              <c:f>Sheet8!$H$2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Sheet8!$H$3:$H$13</c:f>
              <c:numCache/>
            </c:numRef>
          </c:val>
          <c:smooth val="1"/>
        </c:ser>
        <c:ser>
          <c:idx val="6"/>
          <c:order val="6"/>
          <c:tx>
            <c:strRef>
              <c:f>Sheet8!$I$2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Sheet8!$I$3:$I$13</c:f>
              <c:numCache/>
            </c:numRef>
          </c:val>
          <c:smooth val="1"/>
        </c:ser>
        <c:ser>
          <c:idx val="7"/>
          <c:order val="7"/>
          <c:tx>
            <c:strRef>
              <c:f>Sheet8!$J$2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Sheet8!$B$3:$B$13</c:f>
            </c:strRef>
          </c:cat>
          <c:val>
            <c:numRef>
              <c:f>Sheet8!$J$3:$J$13</c:f>
              <c:numCache/>
            </c:numRef>
          </c:val>
          <c:smooth val="1"/>
        </c:ser>
        <c:axId val="1536562848"/>
        <c:axId val="1585722750"/>
      </c:lineChart>
      <c:catAx>
        <c:axId val="153656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722750"/>
      </c:catAx>
      <c:valAx>
        <c:axId val="1585722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562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Kematian Ikan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Sheet8!$L$2:$S$2</c:f>
            </c:strRef>
          </c:cat>
          <c:val>
            <c:numRef>
              <c:f>Sheet8!$L$3:$S$3</c:f>
              <c:numCache/>
            </c:numRef>
          </c:val>
        </c:ser>
        <c:axId val="1208799343"/>
        <c:axId val="445942218"/>
      </c:barChart>
      <c:catAx>
        <c:axId val="120879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942218"/>
      </c:catAx>
      <c:valAx>
        <c:axId val="445942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799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4</xdr:row>
      <xdr:rowOff>19050</xdr:rowOff>
    </xdr:from>
    <xdr:ext cx="9572625" cy="4362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142875</xdr:colOff>
      <xdr:row>18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.5"/>
    <col customWidth="1" min="3" max="3" width="11.13"/>
    <col customWidth="1" min="7" max="7" width="14.25"/>
    <col customWidth="1" min="8" max="8" width="21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3" t="s">
        <v>0</v>
      </c>
      <c r="G2" s="1"/>
      <c r="H2" s="1"/>
      <c r="I2" s="4" t="s">
        <v>1</v>
      </c>
      <c r="J2" s="5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7" t="s">
        <v>2</v>
      </c>
      <c r="J3" s="8">
        <v>1000.0</v>
      </c>
      <c r="K3" s="7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9" t="s">
        <v>4</v>
      </c>
      <c r="D4" s="9" t="s">
        <v>5</v>
      </c>
      <c r="E4" s="9" t="s">
        <v>6</v>
      </c>
      <c r="F4" s="9" t="s">
        <v>7</v>
      </c>
      <c r="G4" s="1"/>
      <c r="H4" s="1"/>
      <c r="I4" s="7" t="s">
        <v>8</v>
      </c>
      <c r="J4" s="10">
        <f>0.0001*J3</f>
        <v>0.1</v>
      </c>
      <c r="K4" s="7" t="s">
        <v>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7">
        <v>1.0</v>
      </c>
      <c r="D5" s="7">
        <v>1.0</v>
      </c>
      <c r="E5" s="11">
        <v>0.01</v>
      </c>
      <c r="F5" s="11">
        <v>0.15</v>
      </c>
      <c r="G5" s="12">
        <f t="shared" ref="G5:G11" si="1">AVERAGE(E5:F5)</f>
        <v>0.08</v>
      </c>
      <c r="H5" s="1"/>
      <c r="I5" s="7" t="s">
        <v>9</v>
      </c>
      <c r="J5" s="10">
        <f>0.0001*J3</f>
        <v>0.1</v>
      </c>
      <c r="K5" s="7" t="s">
        <v>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7">
        <v>2.0</v>
      </c>
      <c r="D6" s="7">
        <v>5.0</v>
      </c>
      <c r="E6" s="11">
        <v>0.08</v>
      </c>
      <c r="F6" s="11">
        <v>0.1</v>
      </c>
      <c r="G6" s="12">
        <f t="shared" si="1"/>
        <v>0.09</v>
      </c>
      <c r="H6" s="1"/>
      <c r="I6" s="7" t="s">
        <v>10</v>
      </c>
      <c r="J6" s="13">
        <f>0.003*J3</f>
        <v>3</v>
      </c>
      <c r="K6" s="7" t="s">
        <v>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7">
        <v>6.0</v>
      </c>
      <c r="D7" s="7">
        <v>20.0</v>
      </c>
      <c r="E7" s="11">
        <v>0.05</v>
      </c>
      <c r="F7" s="11">
        <v>0.08</v>
      </c>
      <c r="G7" s="12">
        <f t="shared" si="1"/>
        <v>0.065</v>
      </c>
      <c r="H7" s="1"/>
      <c r="I7" s="7" t="s">
        <v>11</v>
      </c>
      <c r="J7" s="13">
        <f>0.002*J3</f>
        <v>2</v>
      </c>
      <c r="K7" s="7" t="s">
        <v>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7">
        <v>21.0</v>
      </c>
      <c r="D8" s="7">
        <v>50.0</v>
      </c>
      <c r="E8" s="11">
        <v>0.04</v>
      </c>
      <c r="F8" s="11">
        <v>0.05</v>
      </c>
      <c r="G8" s="12">
        <f t="shared" si="1"/>
        <v>0.045</v>
      </c>
      <c r="H8" s="1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7">
        <v>51.0</v>
      </c>
      <c r="D9" s="7">
        <v>100.0</v>
      </c>
      <c r="E9" s="11">
        <v>0.03</v>
      </c>
      <c r="F9" s="11">
        <v>0.04</v>
      </c>
      <c r="G9" s="12">
        <f t="shared" si="1"/>
        <v>0.035</v>
      </c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7">
        <v>101.0</v>
      </c>
      <c r="D10" s="7">
        <v>300.0</v>
      </c>
      <c r="E10" s="11">
        <v>0.02</v>
      </c>
      <c r="F10" s="11">
        <v>0.03</v>
      </c>
      <c r="G10" s="12">
        <f t="shared" si="1"/>
        <v>0.025</v>
      </c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7">
        <v>301.0</v>
      </c>
      <c r="D11" s="7">
        <v>1000.0</v>
      </c>
      <c r="E11" s="11">
        <v>0.01</v>
      </c>
      <c r="F11" s="11">
        <v>0.02</v>
      </c>
      <c r="G11" s="12">
        <f t="shared" si="1"/>
        <v>0.015</v>
      </c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4">
        <v>500.0</v>
      </c>
      <c r="K13" s="15">
        <v>27.0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4">
        <v>1000.0</v>
      </c>
      <c r="K14" s="15">
        <v>26.0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4">
        <v>250.0</v>
      </c>
      <c r="K15" s="15">
        <v>12.0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4">
        <v>350.0</v>
      </c>
      <c r="K16" s="15">
        <v>16.0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">
        <f t="shared" ref="J17:K17" si="2">SUM(J13:J16)</f>
        <v>2100</v>
      </c>
      <c r="K17" s="2">
        <f t="shared" si="2"/>
        <v>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2"/>
      <c r="K18" s="16">
        <f>J17/K17</f>
        <v>25.92592593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</sheetData>
  <mergeCells count="2">
    <mergeCell ref="C2:F2"/>
    <mergeCell ref="I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8"/>
      <c r="C4" s="19" t="s">
        <v>12</v>
      </c>
      <c r="D4" s="19" t="s">
        <v>13</v>
      </c>
      <c r="E4" s="19" t="s">
        <v>14</v>
      </c>
      <c r="F4" s="20" t="s">
        <v>15</v>
      </c>
      <c r="G4" s="19" t="s">
        <v>16</v>
      </c>
      <c r="H4" s="19" t="s">
        <v>17</v>
      </c>
      <c r="I4" s="19" t="s">
        <v>18</v>
      </c>
      <c r="J4" s="19" t="s">
        <v>19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21" t="s">
        <v>20</v>
      </c>
      <c r="C5" s="22" t="s">
        <v>21</v>
      </c>
      <c r="D5" s="22" t="s">
        <v>22</v>
      </c>
      <c r="E5" s="22" t="s">
        <v>21</v>
      </c>
      <c r="F5" s="22" t="s">
        <v>22</v>
      </c>
      <c r="G5" s="22" t="s">
        <v>21</v>
      </c>
      <c r="H5" s="22" t="s">
        <v>22</v>
      </c>
      <c r="I5" s="22" t="s">
        <v>21</v>
      </c>
      <c r="J5" s="22" t="s">
        <v>22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21" t="s">
        <v>23</v>
      </c>
      <c r="C6" s="22" t="s">
        <v>24</v>
      </c>
      <c r="D6" s="22" t="s">
        <v>25</v>
      </c>
      <c r="E6" s="22" t="s">
        <v>25</v>
      </c>
      <c r="F6" s="22" t="s">
        <v>24</v>
      </c>
      <c r="G6" s="22" t="s">
        <v>25</v>
      </c>
      <c r="H6" s="22" t="s">
        <v>25</v>
      </c>
      <c r="I6" s="22" t="s">
        <v>25</v>
      </c>
      <c r="J6" s="22" t="s">
        <v>25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21" t="s">
        <v>26</v>
      </c>
      <c r="C7" s="22" t="s">
        <v>25</v>
      </c>
      <c r="D7" s="22" t="s">
        <v>25</v>
      </c>
      <c r="E7" s="22" t="s">
        <v>25</v>
      </c>
      <c r="F7" s="22" t="s">
        <v>24</v>
      </c>
      <c r="G7" s="22" t="s">
        <v>25</v>
      </c>
      <c r="H7" s="22" t="s">
        <v>25</v>
      </c>
      <c r="I7" s="22" t="s">
        <v>25</v>
      </c>
      <c r="J7" s="22" t="s">
        <v>25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21" t="s">
        <v>27</v>
      </c>
      <c r="C8" s="23">
        <v>200.0</v>
      </c>
      <c r="D8" s="23">
        <v>175.0</v>
      </c>
      <c r="E8" s="23">
        <v>175.0</v>
      </c>
      <c r="F8" s="23">
        <v>200.0</v>
      </c>
      <c r="G8" s="23">
        <v>200.0</v>
      </c>
      <c r="H8" s="23">
        <v>175.0</v>
      </c>
      <c r="I8" s="23">
        <v>175.0</v>
      </c>
      <c r="J8" s="23">
        <v>200.0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21" t="s">
        <v>28</v>
      </c>
      <c r="C9" s="23">
        <v>7.0</v>
      </c>
      <c r="D9" s="23">
        <v>7.0</v>
      </c>
      <c r="E9" s="23">
        <v>7.0</v>
      </c>
      <c r="F9" s="23">
        <v>7.0</v>
      </c>
      <c r="G9" s="23">
        <v>28.0</v>
      </c>
      <c r="H9" s="23">
        <v>28.0</v>
      </c>
      <c r="I9" s="23">
        <v>28.0</v>
      </c>
      <c r="J9" s="23">
        <v>28.0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21" t="s">
        <v>29</v>
      </c>
      <c r="C10" s="23">
        <f t="shared" ref="C10:J10" si="1">C8*C9</f>
        <v>1400</v>
      </c>
      <c r="D10" s="23">
        <f t="shared" si="1"/>
        <v>1225</v>
      </c>
      <c r="E10" s="23">
        <f t="shared" si="1"/>
        <v>1225</v>
      </c>
      <c r="F10" s="23">
        <f t="shared" si="1"/>
        <v>1400</v>
      </c>
      <c r="G10" s="23">
        <f t="shared" si="1"/>
        <v>5600</v>
      </c>
      <c r="H10" s="23">
        <f t="shared" si="1"/>
        <v>4900</v>
      </c>
      <c r="I10" s="23">
        <f t="shared" si="1"/>
        <v>4900</v>
      </c>
      <c r="J10" s="23">
        <f t="shared" si="1"/>
        <v>5600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21" t="s">
        <v>30</v>
      </c>
      <c r="C11" s="24">
        <f t="shared" ref="C11:J11" si="2">1000/60</f>
        <v>16.66666667</v>
      </c>
      <c r="D11" s="24">
        <f t="shared" si="2"/>
        <v>16.66666667</v>
      </c>
      <c r="E11" s="24">
        <f t="shared" si="2"/>
        <v>16.66666667</v>
      </c>
      <c r="F11" s="24">
        <f t="shared" si="2"/>
        <v>16.66666667</v>
      </c>
      <c r="G11" s="24">
        <f t="shared" si="2"/>
        <v>16.66666667</v>
      </c>
      <c r="H11" s="24">
        <f t="shared" si="2"/>
        <v>16.66666667</v>
      </c>
      <c r="I11" s="24">
        <f t="shared" si="2"/>
        <v>16.66666667</v>
      </c>
      <c r="J11" s="24">
        <f t="shared" si="2"/>
        <v>16.66666667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21" t="s">
        <v>31</v>
      </c>
      <c r="C12" s="24">
        <f t="shared" ref="C12:I12" si="3">C11*C10</f>
        <v>23333.33333</v>
      </c>
      <c r="D12" s="24">
        <f t="shared" si="3"/>
        <v>20416.66667</v>
      </c>
      <c r="E12" s="24">
        <f t="shared" si="3"/>
        <v>20416.66667</v>
      </c>
      <c r="F12" s="24">
        <f t="shared" si="3"/>
        <v>23333.33333</v>
      </c>
      <c r="G12" s="24">
        <f t="shared" si="3"/>
        <v>93333.33333</v>
      </c>
      <c r="H12" s="24">
        <f t="shared" si="3"/>
        <v>81666.66667</v>
      </c>
      <c r="I12" s="24">
        <f t="shared" si="3"/>
        <v>81666.66667</v>
      </c>
      <c r="J12" s="24">
        <f>J10*J11</f>
        <v>93333.33333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21" t="s">
        <v>32</v>
      </c>
      <c r="C13" s="22" t="s">
        <v>33</v>
      </c>
      <c r="D13" s="22" t="s">
        <v>33</v>
      </c>
      <c r="E13" s="22" t="s">
        <v>34</v>
      </c>
      <c r="F13" s="22" t="s">
        <v>34</v>
      </c>
      <c r="G13" s="22" t="s">
        <v>34</v>
      </c>
      <c r="H13" s="22" t="s">
        <v>34</v>
      </c>
      <c r="I13" s="22" t="s">
        <v>33</v>
      </c>
      <c r="J13" s="22" t="s">
        <v>33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21" t="s">
        <v>35</v>
      </c>
      <c r="C14" s="22" t="s">
        <v>36</v>
      </c>
      <c r="D14" s="22">
        <v>781.0</v>
      </c>
      <c r="E14" s="22" t="s">
        <v>36</v>
      </c>
      <c r="F14" s="22">
        <v>781.0</v>
      </c>
      <c r="G14" s="25">
        <v>781.0</v>
      </c>
      <c r="H14" s="25" t="s">
        <v>36</v>
      </c>
      <c r="I14" s="25">
        <v>781.0</v>
      </c>
      <c r="J14" s="22" t="s">
        <v>36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21" t="s">
        <v>37</v>
      </c>
      <c r="C15" s="22" t="s">
        <v>38</v>
      </c>
      <c r="D15" s="22" t="s">
        <v>39</v>
      </c>
      <c r="E15" s="22" t="s">
        <v>40</v>
      </c>
      <c r="F15" s="22" t="s">
        <v>41</v>
      </c>
      <c r="G15" s="22" t="s">
        <v>41</v>
      </c>
      <c r="H15" s="22" t="s">
        <v>41</v>
      </c>
      <c r="I15" s="22" t="s">
        <v>41</v>
      </c>
      <c r="J15" s="22" t="s">
        <v>41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26" t="s">
        <v>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26" t="s">
        <v>42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6.63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9" t="s">
        <v>43</v>
      </c>
      <c r="E2" s="1"/>
      <c r="F2" s="30" t="s">
        <v>44</v>
      </c>
      <c r="G2" s="31">
        <v>46290.0</v>
      </c>
      <c r="H2" s="27"/>
      <c r="I2" s="32" t="s">
        <v>45</v>
      </c>
      <c r="J2" s="33"/>
      <c r="K2" s="28"/>
      <c r="M2" s="34" t="s">
        <v>2</v>
      </c>
      <c r="N2" s="3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100.0</v>
      </c>
      <c r="E4" s="1"/>
      <c r="F4" s="37" t="s">
        <v>47</v>
      </c>
      <c r="G4" s="38">
        <f>10*D4</f>
        <v>1000</v>
      </c>
      <c r="H4" s="27"/>
      <c r="I4" s="32" t="s">
        <v>48</v>
      </c>
      <c r="J4" s="11">
        <v>0.26</v>
      </c>
      <c r="K4" s="28"/>
      <c r="M4" s="39" t="s">
        <v>32</v>
      </c>
      <c r="N4" s="4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0</v>
      </c>
      <c r="E5" s="1"/>
      <c r="F5" s="37" t="s">
        <v>50</v>
      </c>
      <c r="G5" s="42">
        <f>SUM(I13:I164)</f>
        <v>110.5</v>
      </c>
      <c r="H5" s="27"/>
      <c r="I5" s="32" t="s">
        <v>51</v>
      </c>
      <c r="J5" s="43">
        <v>0.42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100</v>
      </c>
      <c r="E6" s="1"/>
      <c r="F6" s="37" t="s">
        <v>53</v>
      </c>
      <c r="G6" s="44">
        <f>IFERROR(__xludf.DUMMYFUNCTION("IFERROR(CHOOSEROWS(FILTER(H14:H162, LEN(H14:H162) &gt; 0, H14:H162 &lt;&gt; 0), -1), 0)"),0.0)</f>
        <v>0</v>
      </c>
      <c r="H6" s="27"/>
      <c r="I6" s="32" t="s">
        <v>54</v>
      </c>
      <c r="J6" s="43">
        <v>0.16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1</v>
      </c>
      <c r="E7" s="1"/>
      <c r="F7" s="37" t="s">
        <v>56</v>
      </c>
      <c r="G7" s="11">
        <f>IFERROR(G5/(G6-G4),0)</f>
        <v>-0.1105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"/>
      <c r="C8" s="1"/>
      <c r="D8" s="1"/>
      <c r="E8" s="1"/>
      <c r="F8" s="37" t="s">
        <v>57</v>
      </c>
      <c r="G8" s="45" t="str">
        <f>IF(G6=0,"",J8*G6)</f>
        <v/>
      </c>
      <c r="H8" s="27"/>
      <c r="I8" s="32" t="s">
        <v>58</v>
      </c>
      <c r="J8" s="46">
        <f>IFERROR(__xludf.DUMMYFUNCTION("IFERROR(CHOOSEROWS(FILTER(D13:D161, LEN(D13:D161) &gt; 0, D13:D161 &lt;&gt; 0), -1), 0)"),0.05)</f>
        <v>0.05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5">
        <f>G2</f>
        <v>46290</v>
      </c>
      <c r="B13" s="7">
        <v>1.0</v>
      </c>
      <c r="C13" s="7">
        <v>17.0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0.0</v>
      </c>
      <c r="G13" s="8">
        <f>$D$4-F13</f>
        <v>100</v>
      </c>
      <c r="H13" s="38">
        <f>C13*G13</f>
        <v>1700</v>
      </c>
      <c r="I13" s="38">
        <f t="shared" ref="I13:I164" si="1">IF(C13=0,"",AVERAGE(D13:E13)*H13)</f>
        <v>110.5</v>
      </c>
      <c r="J13" s="57">
        <f t="shared" ref="J13:J164" si="2">I13*$J$6</f>
        <v>17.68</v>
      </c>
      <c r="K13" s="58">
        <f t="shared" ref="K13:K164" si="3">I13*$J$5</f>
        <v>46.41</v>
      </c>
      <c r="L13" s="7">
        <v>0.0</v>
      </c>
      <c r="M13" s="58">
        <f t="shared" ref="M13:M164" si="4">L13*37%</f>
        <v>0</v>
      </c>
      <c r="N13" s="58">
        <f t="shared" ref="N13:N164" si="5">IF(J13=0,"", (K13+M13)/J13)</f>
        <v>2.625</v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">
        <v>2.0</v>
      </c>
      <c r="C14" s="7">
        <v>0.0</v>
      </c>
      <c r="D14" s="56" t="str">
        <f t="array" ref="D14">_xlfn.XLOOKUP(C14,Referensi!$C$5:$C$11,Referensi!$E$5:$E$11,,-1)</f>
        <v/>
      </c>
      <c r="E14" s="56" t="str">
        <f t="array" ref="E14">_xlfn.XLOOKUP(C14,Referensi!$D$5:$D$11,Referensi!$F$5:$F$11,,-1)</f>
        <v/>
      </c>
      <c r="F14" s="38"/>
      <c r="G14" s="8">
        <f>IF(C14="","",G13-F14)</f>
        <v>100</v>
      </c>
      <c r="H14" s="38">
        <f>IF(C14="","", C14*G14)</f>
        <v>0</v>
      </c>
      <c r="I14" s="38" t="str">
        <f t="shared" si="1"/>
        <v/>
      </c>
      <c r="J14" s="57">
        <f t="shared" si="2"/>
        <v>0</v>
      </c>
      <c r="K14" s="58">
        <f t="shared" si="3"/>
        <v>0</v>
      </c>
      <c r="L14" s="33"/>
      <c r="M14" s="58">
        <f t="shared" si="4"/>
        <v>0</v>
      </c>
      <c r="N14" s="58" t="str">
        <f t="shared" si="5"/>
        <v/>
      </c>
      <c r="O14" s="33"/>
      <c r="P14" s="33"/>
      <c r="Q14" s="33"/>
      <c r="R14" s="33"/>
      <c r="S14" s="33"/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">
        <v>3.0</v>
      </c>
      <c r="C15" s="33"/>
      <c r="D15" s="56" t="str">
        <f t="array" ref="D15">_xlfn.XLOOKUP(C15,Referensi!$C$5:$C$11,Referensi!$E$5:$E$11,,-1)</f>
        <v/>
      </c>
      <c r="E15" s="56" t="str">
        <f t="array" ref="E15">_xlfn.XLOOKUP(C15,Referensi!$D$5:$D$11,Referensi!$F$5:$F$11,,-1)</f>
        <v/>
      </c>
      <c r="F15" s="38"/>
      <c r="G15" s="38"/>
      <c r="H15" s="38">
        <f t="shared" ref="H15:H164" si="6">C15*G15</f>
        <v>0</v>
      </c>
      <c r="I15" s="38" t="str">
        <f t="shared" si="1"/>
        <v/>
      </c>
      <c r="J15" s="57">
        <f t="shared" si="2"/>
        <v>0</v>
      </c>
      <c r="K15" s="58">
        <f t="shared" si="3"/>
        <v>0</v>
      </c>
      <c r="L15" s="33"/>
      <c r="M15" s="58">
        <f t="shared" si="4"/>
        <v>0</v>
      </c>
      <c r="N15" s="58" t="str">
        <f t="shared" si="5"/>
        <v/>
      </c>
      <c r="O15" s="33"/>
      <c r="P15" s="33"/>
      <c r="Q15" s="33"/>
      <c r="R15" s="33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">
        <v>4.0</v>
      </c>
      <c r="C16" s="33"/>
      <c r="D16" s="56" t="str">
        <f t="array" ref="D16">_xlfn.XLOOKUP(C16,Referensi!$C$5:$C$11,Referensi!$E$5:$E$11,,-1)</f>
        <v/>
      </c>
      <c r="E16" s="56" t="str">
        <f t="array" ref="E16">_xlfn.XLOOKUP(C16,Referensi!$D$5:$D$11,Referensi!$F$5:$F$11,,-1)</f>
        <v/>
      </c>
      <c r="F16" s="38"/>
      <c r="G16" s="38"/>
      <c r="H16" s="38">
        <f t="shared" si="6"/>
        <v>0</v>
      </c>
      <c r="I16" s="38" t="str">
        <f t="shared" si="1"/>
        <v/>
      </c>
      <c r="J16" s="57">
        <f t="shared" si="2"/>
        <v>0</v>
      </c>
      <c r="K16" s="58">
        <f t="shared" si="3"/>
        <v>0</v>
      </c>
      <c r="L16" s="33"/>
      <c r="M16" s="58">
        <f t="shared" si="4"/>
        <v>0</v>
      </c>
      <c r="N16" s="58" t="str">
        <f t="shared" si="5"/>
        <v/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">
        <v>5.0</v>
      </c>
      <c r="C17" s="33"/>
      <c r="D17" s="56" t="str">
        <f t="array" ref="D17">_xlfn.XLOOKUP(C17,Referensi!$C$5:$C$11,Referensi!$E$5:$E$11,,-1)</f>
        <v/>
      </c>
      <c r="E17" s="56" t="str">
        <f t="array" ref="E17">_xlfn.XLOOKUP(C17,Referensi!$D$5:$D$11,Referensi!$F$5:$F$11,,-1)</f>
        <v/>
      </c>
      <c r="F17" s="38"/>
      <c r="G17" s="38"/>
      <c r="H17" s="38">
        <f t="shared" si="6"/>
        <v>0</v>
      </c>
      <c r="I17" s="38" t="str">
        <f t="shared" si="1"/>
        <v/>
      </c>
      <c r="J17" s="57">
        <f t="shared" si="2"/>
        <v>0</v>
      </c>
      <c r="K17" s="58">
        <f t="shared" si="3"/>
        <v>0</v>
      </c>
      <c r="L17" s="33"/>
      <c r="M17" s="58">
        <f t="shared" si="4"/>
        <v>0</v>
      </c>
      <c r="N17" s="58" t="str">
        <f t="shared" si="5"/>
        <v/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">
        <v>6.0</v>
      </c>
      <c r="C18" s="33"/>
      <c r="D18" s="56" t="str">
        <f t="array" ref="D18">_xlfn.XLOOKUP(C18,Referensi!$C$5:$C$11,Referensi!$E$5:$E$11,,-1)</f>
        <v/>
      </c>
      <c r="E18" s="56" t="str">
        <f t="array" ref="E18">_xlfn.XLOOKUP(C18,Referensi!$D$5:$D$11,Referensi!$F$5:$F$11,,-1)</f>
        <v/>
      </c>
      <c r="F18" s="38"/>
      <c r="G18" s="38"/>
      <c r="H18" s="38">
        <f t="shared" si="6"/>
        <v>0</v>
      </c>
      <c r="I18" s="38" t="str">
        <f t="shared" si="1"/>
        <v/>
      </c>
      <c r="J18" s="57">
        <f t="shared" si="2"/>
        <v>0</v>
      </c>
      <c r="K18" s="58">
        <f t="shared" si="3"/>
        <v>0</v>
      </c>
      <c r="L18" s="33"/>
      <c r="M18" s="58">
        <f t="shared" si="4"/>
        <v>0</v>
      </c>
      <c r="N18" s="58" t="str">
        <f t="shared" si="5"/>
        <v/>
      </c>
      <c r="O18" s="33"/>
      <c r="P18" s="33"/>
      <c r="Q18" s="33"/>
      <c r="R18" s="33"/>
      <c r="S18" s="33"/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59">
        <v>7.0</v>
      </c>
      <c r="C19" s="33"/>
      <c r="D19" s="56" t="str">
        <f t="array" ref="D19">_xlfn.XLOOKUP(C19,Referensi!$C$5:$C$11,Referensi!$E$5:$E$11,,-1)</f>
        <v/>
      </c>
      <c r="E19" s="56" t="str">
        <f t="array" ref="E19">_xlfn.XLOOKUP(C19,Referensi!$D$5:$D$11,Referensi!$F$5:$F$11,,-1)</f>
        <v/>
      </c>
      <c r="F19" s="38"/>
      <c r="G19" s="38"/>
      <c r="H19" s="38">
        <f t="shared" si="6"/>
        <v>0</v>
      </c>
      <c r="I19" s="38" t="str">
        <f t="shared" si="1"/>
        <v/>
      </c>
      <c r="J19" s="57">
        <f t="shared" si="2"/>
        <v>0</v>
      </c>
      <c r="K19" s="58">
        <f t="shared" si="3"/>
        <v>0</v>
      </c>
      <c r="L19" s="33"/>
      <c r="M19" s="58">
        <f t="shared" si="4"/>
        <v>0</v>
      </c>
      <c r="N19" s="58" t="str">
        <f t="shared" si="5"/>
        <v/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">
        <v>8.0</v>
      </c>
      <c r="C20" s="33"/>
      <c r="D20" s="56" t="str">
        <f t="array" ref="D20">_xlfn.XLOOKUP(C20,Referensi!$C$5:$C$11,Referensi!$E$5:$E$11,,-1)</f>
        <v/>
      </c>
      <c r="E20" s="56" t="str">
        <f t="array" ref="E20">_xlfn.XLOOKUP(C20,Referensi!$D$5:$D$11,Referensi!$F$5:$F$11,,-1)</f>
        <v/>
      </c>
      <c r="F20" s="38"/>
      <c r="G20" s="38"/>
      <c r="H20" s="38">
        <f t="shared" si="6"/>
        <v>0</v>
      </c>
      <c r="I20" s="38" t="str">
        <f t="shared" si="1"/>
        <v/>
      </c>
      <c r="J20" s="57">
        <f t="shared" si="2"/>
        <v>0</v>
      </c>
      <c r="K20" s="58">
        <f t="shared" si="3"/>
        <v>0</v>
      </c>
      <c r="L20" s="33"/>
      <c r="M20" s="58">
        <f t="shared" si="4"/>
        <v>0</v>
      </c>
      <c r="N20" s="58" t="str">
        <f t="shared" si="5"/>
        <v/>
      </c>
      <c r="O20" s="33"/>
      <c r="P20" s="33"/>
      <c r="Q20" s="33"/>
      <c r="R20" s="33"/>
      <c r="S20" s="33"/>
      <c r="T20" s="33"/>
      <c r="U20" s="33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7">
        <v>9.0</v>
      </c>
      <c r="C21" s="33"/>
      <c r="D21" s="56" t="str">
        <f t="array" ref="D21">_xlfn.XLOOKUP(C21,Referensi!$C$5:$C$11,Referensi!$E$5:$E$11,,-1)</f>
        <v/>
      </c>
      <c r="E21" s="56" t="str">
        <f t="array" ref="E21">_xlfn.XLOOKUP(C21,Referensi!$D$5:$D$11,Referensi!$F$5:$F$11,,-1)</f>
        <v/>
      </c>
      <c r="F21" s="38"/>
      <c r="G21" s="38"/>
      <c r="H21" s="38">
        <f t="shared" si="6"/>
        <v>0</v>
      </c>
      <c r="I21" s="38" t="str">
        <f t="shared" si="1"/>
        <v/>
      </c>
      <c r="J21" s="57">
        <f t="shared" si="2"/>
        <v>0</v>
      </c>
      <c r="K21" s="58">
        <f t="shared" si="3"/>
        <v>0</v>
      </c>
      <c r="L21" s="33"/>
      <c r="M21" s="58">
        <f t="shared" si="4"/>
        <v>0</v>
      </c>
      <c r="N21" s="58" t="str">
        <f t="shared" si="5"/>
        <v/>
      </c>
      <c r="O21" s="33"/>
      <c r="P21" s="33"/>
      <c r="Q21" s="33"/>
      <c r="R21" s="33"/>
      <c r="S21" s="33"/>
      <c r="T21" s="33"/>
      <c r="U21" s="3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">
        <v>10.0</v>
      </c>
      <c r="C22" s="33"/>
      <c r="D22" s="56" t="str">
        <f t="array" ref="D22">_xlfn.XLOOKUP(C22,Referensi!$C$5:$C$11,Referensi!$E$5:$E$11,,-1)</f>
        <v/>
      </c>
      <c r="E22" s="56" t="str">
        <f t="array" ref="E22">_xlfn.XLOOKUP(C22,Referensi!$D$5:$D$11,Referensi!$F$5:$F$11,,-1)</f>
        <v/>
      </c>
      <c r="F22" s="38"/>
      <c r="G22" s="38"/>
      <c r="H22" s="38">
        <f t="shared" si="6"/>
        <v>0</v>
      </c>
      <c r="I22" s="38" t="str">
        <f t="shared" si="1"/>
        <v/>
      </c>
      <c r="J22" s="57">
        <f t="shared" si="2"/>
        <v>0</v>
      </c>
      <c r="K22" s="58">
        <f t="shared" si="3"/>
        <v>0</v>
      </c>
      <c r="L22" s="33"/>
      <c r="M22" s="58">
        <f t="shared" si="4"/>
        <v>0</v>
      </c>
      <c r="N22" s="58" t="str">
        <f t="shared" si="5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">
        <v>11.0</v>
      </c>
      <c r="C23" s="33"/>
      <c r="D23" s="56" t="str">
        <f t="array" ref="D23">_xlfn.XLOOKUP(C23,Referensi!$C$5:$C$11,Referensi!$E$5:$E$11,,-1)</f>
        <v/>
      </c>
      <c r="E23" s="56" t="str">
        <f t="array" ref="E23">_xlfn.XLOOKUP(C23,Referensi!$D$5:$D$11,Referensi!$F$5:$F$11,,-1)</f>
        <v/>
      </c>
      <c r="F23" s="38"/>
      <c r="G23" s="38"/>
      <c r="H23" s="38">
        <f t="shared" si="6"/>
        <v>0</v>
      </c>
      <c r="I23" s="38" t="str">
        <f t="shared" si="1"/>
        <v/>
      </c>
      <c r="J23" s="57">
        <f t="shared" si="2"/>
        <v>0</v>
      </c>
      <c r="K23" s="58">
        <f t="shared" si="3"/>
        <v>0</v>
      </c>
      <c r="L23" s="33"/>
      <c r="M23" s="58">
        <f t="shared" si="4"/>
        <v>0</v>
      </c>
      <c r="N23" s="58" t="str">
        <f t="shared" si="5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">
        <v>12.0</v>
      </c>
      <c r="C24" s="33"/>
      <c r="D24" s="56" t="str">
        <f t="array" ref="D24">_xlfn.XLOOKUP(C24,Referensi!$C$5:$C$11,Referensi!$E$5:$E$11,,-1)</f>
        <v/>
      </c>
      <c r="E24" s="56" t="str">
        <f t="array" ref="E24">_xlfn.XLOOKUP(C24,Referensi!$D$5:$D$11,Referensi!$F$5:$F$11,,-1)</f>
        <v/>
      </c>
      <c r="F24" s="33"/>
      <c r="G24" s="33"/>
      <c r="H24" s="38">
        <f t="shared" si="6"/>
        <v>0</v>
      </c>
      <c r="I24" s="38" t="str">
        <f t="shared" si="1"/>
        <v/>
      </c>
      <c r="J24" s="57">
        <f t="shared" si="2"/>
        <v>0</v>
      </c>
      <c r="K24" s="58">
        <f t="shared" si="3"/>
        <v>0</v>
      </c>
      <c r="L24" s="33"/>
      <c r="M24" s="58">
        <f t="shared" si="4"/>
        <v>0</v>
      </c>
      <c r="N24" s="58" t="str">
        <f t="shared" si="5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">
        <v>13.0</v>
      </c>
      <c r="C25" s="33"/>
      <c r="D25" s="56" t="str">
        <f t="array" ref="D25">_xlfn.XLOOKUP(C25,Referensi!$C$5:$C$11,Referensi!$E$5:$E$11,,-1)</f>
        <v/>
      </c>
      <c r="E25" s="56" t="str">
        <f t="array" ref="E25">_xlfn.XLOOKUP(C25,Referensi!$D$5:$D$11,Referensi!$F$5:$F$11,,-1)</f>
        <v/>
      </c>
      <c r="F25" s="33"/>
      <c r="G25" s="33"/>
      <c r="H25" s="38">
        <f t="shared" si="6"/>
        <v>0</v>
      </c>
      <c r="I25" s="38" t="str">
        <f t="shared" si="1"/>
        <v/>
      </c>
      <c r="J25" s="57">
        <f t="shared" si="2"/>
        <v>0</v>
      </c>
      <c r="K25" s="58">
        <f t="shared" si="3"/>
        <v>0</v>
      </c>
      <c r="L25" s="33"/>
      <c r="M25" s="58">
        <f t="shared" si="4"/>
        <v>0</v>
      </c>
      <c r="N25" s="58" t="str">
        <f t="shared" si="5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60">
        <v>14.0</v>
      </c>
      <c r="C26" s="33"/>
      <c r="D26" s="56" t="str">
        <f t="array" ref="D26">_xlfn.XLOOKUP(C26,Referensi!$C$5:$C$11,Referensi!$E$5:$E$11,,-1)</f>
        <v/>
      </c>
      <c r="E26" s="56" t="str">
        <f t="array" ref="E26">_xlfn.XLOOKUP(C26,Referensi!$D$5:$D$11,Referensi!$F$5:$F$11,,-1)</f>
        <v/>
      </c>
      <c r="F26" s="33"/>
      <c r="G26" s="33"/>
      <c r="H26" s="38">
        <f t="shared" si="6"/>
        <v>0</v>
      </c>
      <c r="I26" s="38" t="str">
        <f t="shared" si="1"/>
        <v/>
      </c>
      <c r="J26" s="57">
        <f t="shared" si="2"/>
        <v>0</v>
      </c>
      <c r="K26" s="58">
        <f t="shared" si="3"/>
        <v>0</v>
      </c>
      <c r="L26" s="33"/>
      <c r="M26" s="58">
        <f t="shared" si="4"/>
        <v>0</v>
      </c>
      <c r="N26" s="58" t="str">
        <f t="shared" si="5"/>
        <v/>
      </c>
      <c r="O26" s="33"/>
      <c r="P26" s="33"/>
      <c r="Q26" s="33"/>
      <c r="R26" s="33"/>
      <c r="S26" s="33"/>
      <c r="T26" s="33"/>
      <c r="U26" s="33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">
        <v>15.0</v>
      </c>
      <c r="C27" s="33"/>
      <c r="D27" s="56" t="str">
        <f t="array" ref="D27">_xlfn.XLOOKUP(C27,Referensi!$C$5:$C$11,Referensi!$E$5:$E$11,,-1)</f>
        <v/>
      </c>
      <c r="E27" s="56" t="str">
        <f t="array" ref="E27">_xlfn.XLOOKUP(C27,Referensi!$D$5:$D$11,Referensi!$F$5:$F$11,,-1)</f>
        <v/>
      </c>
      <c r="F27" s="33"/>
      <c r="G27" s="33"/>
      <c r="H27" s="38">
        <f t="shared" si="6"/>
        <v>0</v>
      </c>
      <c r="I27" s="38" t="str">
        <f t="shared" si="1"/>
        <v/>
      </c>
      <c r="J27" s="57">
        <f t="shared" si="2"/>
        <v>0</v>
      </c>
      <c r="K27" s="58">
        <f t="shared" si="3"/>
        <v>0</v>
      </c>
      <c r="L27" s="33"/>
      <c r="M27" s="58">
        <f t="shared" si="4"/>
        <v>0</v>
      </c>
      <c r="N27" s="58" t="str">
        <f t="shared" si="5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">
        <v>16.0</v>
      </c>
      <c r="C28" s="33"/>
      <c r="D28" s="56" t="str">
        <f t="array" ref="D28">_xlfn.XLOOKUP(C28,Referensi!$C$5:$C$11,Referensi!$E$5:$E$11,,-1)</f>
        <v/>
      </c>
      <c r="E28" s="56" t="str">
        <f t="array" ref="E28">_xlfn.XLOOKUP(C28,Referensi!$D$5:$D$11,Referensi!$F$5:$F$11,,-1)</f>
        <v/>
      </c>
      <c r="F28" s="33"/>
      <c r="G28" s="33"/>
      <c r="H28" s="38">
        <f t="shared" si="6"/>
        <v>0</v>
      </c>
      <c r="I28" s="38" t="str">
        <f t="shared" si="1"/>
        <v/>
      </c>
      <c r="J28" s="57">
        <f t="shared" si="2"/>
        <v>0</v>
      </c>
      <c r="K28" s="58">
        <f t="shared" si="3"/>
        <v>0</v>
      </c>
      <c r="L28" s="33"/>
      <c r="M28" s="58">
        <f t="shared" si="4"/>
        <v>0</v>
      </c>
      <c r="N28" s="58" t="str">
        <f t="shared" si="5"/>
        <v/>
      </c>
      <c r="O28" s="33"/>
      <c r="P28" s="33"/>
      <c r="Q28" s="33"/>
      <c r="R28" s="33"/>
      <c r="S28" s="33"/>
      <c r="T28" s="33"/>
      <c r="U28" s="33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 t="array" ref="D29">_xlfn.XLOOKUP(C29,Referensi!$C$5:$C$11,Referensi!$E$5:$E$11,,-1)</f>
        <v/>
      </c>
      <c r="E29" s="56" t="str">
        <f t="array" ref="E29">_xlfn.XLOOKUP(C29,Referensi!$D$5:$D$11,Referensi!$F$5:$F$11,,-1)</f>
        <v/>
      </c>
      <c r="F29" s="33"/>
      <c r="G29" s="33"/>
      <c r="H29" s="38">
        <f t="shared" si="6"/>
        <v>0</v>
      </c>
      <c r="I29" s="38" t="str">
        <f t="shared" si="1"/>
        <v/>
      </c>
      <c r="J29" s="57">
        <f t="shared" si="2"/>
        <v>0</v>
      </c>
      <c r="K29" s="58">
        <f t="shared" si="3"/>
        <v>0</v>
      </c>
      <c r="L29" s="33"/>
      <c r="M29" s="58">
        <f t="shared" si="4"/>
        <v>0</v>
      </c>
      <c r="N29" s="58" t="str">
        <f t="shared" si="5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 t="array" ref="D30">_xlfn.XLOOKUP(C30,Referensi!$C$5:$C$11,Referensi!$E$5:$E$11,,-1)</f>
        <v/>
      </c>
      <c r="E30" s="56" t="str">
        <f t="array" ref="E30">_xlfn.XLOOKUP(C30,Referensi!$D$5:$D$11,Referensi!$F$5:$F$11,,-1)</f>
        <v/>
      </c>
      <c r="F30" s="33"/>
      <c r="G30" s="33"/>
      <c r="H30" s="38">
        <f t="shared" si="6"/>
        <v>0</v>
      </c>
      <c r="I30" s="38" t="str">
        <f t="shared" si="1"/>
        <v/>
      </c>
      <c r="J30" s="57">
        <f t="shared" si="2"/>
        <v>0</v>
      </c>
      <c r="K30" s="58">
        <f t="shared" si="3"/>
        <v>0</v>
      </c>
      <c r="L30" s="33"/>
      <c r="M30" s="58">
        <f t="shared" si="4"/>
        <v>0</v>
      </c>
      <c r="N30" s="58" t="str">
        <f t="shared" si="5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 t="array" ref="D31">_xlfn.XLOOKUP(C31,Referensi!$C$5:$C$11,Referensi!$E$5:$E$11,,-1)</f>
        <v/>
      </c>
      <c r="E31" s="56" t="str">
        <f t="array" ref="E31">_xlfn.XLOOKUP(C31,Referensi!$D$5:$D$11,Referensi!$F$5:$F$11,,-1)</f>
        <v/>
      </c>
      <c r="F31" s="33"/>
      <c r="G31" s="33"/>
      <c r="H31" s="38">
        <f t="shared" si="6"/>
        <v>0</v>
      </c>
      <c r="I31" s="38" t="str">
        <f t="shared" si="1"/>
        <v/>
      </c>
      <c r="J31" s="57">
        <f t="shared" si="2"/>
        <v>0</v>
      </c>
      <c r="K31" s="58">
        <f t="shared" si="3"/>
        <v>0</v>
      </c>
      <c r="L31" s="33"/>
      <c r="M31" s="58">
        <f t="shared" si="4"/>
        <v>0</v>
      </c>
      <c r="N31" s="58" t="str">
        <f t="shared" si="5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 t="array" ref="D32">_xlfn.XLOOKUP(C32,Referensi!$C$5:$C$11,Referensi!$E$5:$E$11,,-1)</f>
        <v/>
      </c>
      <c r="E32" s="56" t="str">
        <f t="array" ref="E32">_xlfn.XLOOKUP(C32,Referensi!$D$5:$D$11,Referensi!$F$5:$F$11,,-1)</f>
        <v/>
      </c>
      <c r="F32" s="33"/>
      <c r="G32" s="33"/>
      <c r="H32" s="38">
        <f t="shared" si="6"/>
        <v>0</v>
      </c>
      <c r="I32" s="38" t="str">
        <f t="shared" si="1"/>
        <v/>
      </c>
      <c r="J32" s="57">
        <f t="shared" si="2"/>
        <v>0</v>
      </c>
      <c r="K32" s="58">
        <f t="shared" si="3"/>
        <v>0</v>
      </c>
      <c r="L32" s="33"/>
      <c r="M32" s="58">
        <f t="shared" si="4"/>
        <v>0</v>
      </c>
      <c r="N32" s="58" t="str">
        <f t="shared" si="5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60">
        <v>21.0</v>
      </c>
      <c r="C33" s="33"/>
      <c r="D33" s="56" t="str">
        <f t="array" ref="D33">_xlfn.XLOOKUP(C33,Referensi!$C$5:$C$11,Referensi!$E$5:$E$11,,-1)</f>
        <v/>
      </c>
      <c r="E33" s="56" t="str">
        <f t="array" ref="E33">_xlfn.XLOOKUP(C33,Referensi!$D$5:$D$11,Referensi!$F$5:$F$11,,-1)</f>
        <v/>
      </c>
      <c r="F33" s="33"/>
      <c r="G33" s="33"/>
      <c r="H33" s="38">
        <f t="shared" si="6"/>
        <v>0</v>
      </c>
      <c r="I33" s="38" t="str">
        <f t="shared" si="1"/>
        <v/>
      </c>
      <c r="J33" s="57">
        <f t="shared" si="2"/>
        <v>0</v>
      </c>
      <c r="K33" s="58">
        <f t="shared" si="3"/>
        <v>0</v>
      </c>
      <c r="L33" s="33"/>
      <c r="M33" s="58">
        <f t="shared" si="4"/>
        <v>0</v>
      </c>
      <c r="N33" s="58" t="str">
        <f t="shared" si="5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 t="array" ref="D34">_xlfn.XLOOKUP(C34,Referensi!$C$5:$C$11,Referensi!$E$5:$E$11,,-1)</f>
        <v/>
      </c>
      <c r="E34" s="56" t="str">
        <f t="array" ref="E34">_xlfn.XLOOKUP(C34,Referensi!$D$5:$D$11,Referensi!$F$5:$F$11,,-1)</f>
        <v/>
      </c>
      <c r="F34" s="33"/>
      <c r="G34" s="33"/>
      <c r="H34" s="38">
        <f t="shared" si="6"/>
        <v>0</v>
      </c>
      <c r="I34" s="38" t="str">
        <f t="shared" si="1"/>
        <v/>
      </c>
      <c r="J34" s="57">
        <f t="shared" si="2"/>
        <v>0</v>
      </c>
      <c r="K34" s="58">
        <f t="shared" si="3"/>
        <v>0</v>
      </c>
      <c r="L34" s="33"/>
      <c r="M34" s="58">
        <f t="shared" si="4"/>
        <v>0</v>
      </c>
      <c r="N34" s="58" t="str">
        <f t="shared" si="5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 t="array" ref="D35">_xlfn.XLOOKUP(C35,Referensi!$C$5:$C$11,Referensi!$E$5:$E$11,,-1)</f>
        <v/>
      </c>
      <c r="E35" s="56" t="str">
        <f t="array" ref="E35">_xlfn.XLOOKUP(C35,Referensi!$D$5:$D$11,Referensi!$F$5:$F$11,,-1)</f>
        <v/>
      </c>
      <c r="F35" s="33"/>
      <c r="G35" s="33"/>
      <c r="H35" s="38">
        <f t="shared" si="6"/>
        <v>0</v>
      </c>
      <c r="I35" s="38" t="str">
        <f t="shared" si="1"/>
        <v/>
      </c>
      <c r="J35" s="57">
        <f t="shared" si="2"/>
        <v>0</v>
      </c>
      <c r="K35" s="58">
        <f t="shared" si="3"/>
        <v>0</v>
      </c>
      <c r="L35" s="33"/>
      <c r="M35" s="58">
        <f t="shared" si="4"/>
        <v>0</v>
      </c>
      <c r="N35" s="58" t="str">
        <f t="shared" si="5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 t="array" ref="D36">_xlfn.XLOOKUP(C36,Referensi!$C$5:$C$11,Referensi!$E$5:$E$11,,-1)</f>
        <v/>
      </c>
      <c r="E36" s="56" t="str">
        <f t="array" ref="E36">_xlfn.XLOOKUP(C36,Referensi!$D$5:$D$11,Referensi!$F$5:$F$11,,-1)</f>
        <v/>
      </c>
      <c r="F36" s="33"/>
      <c r="G36" s="33"/>
      <c r="H36" s="38">
        <f t="shared" si="6"/>
        <v>0</v>
      </c>
      <c r="I36" s="38" t="str">
        <f t="shared" si="1"/>
        <v/>
      </c>
      <c r="J36" s="57">
        <f t="shared" si="2"/>
        <v>0</v>
      </c>
      <c r="K36" s="58">
        <f t="shared" si="3"/>
        <v>0</v>
      </c>
      <c r="L36" s="33"/>
      <c r="M36" s="58">
        <f t="shared" si="4"/>
        <v>0</v>
      </c>
      <c r="N36" s="58" t="str">
        <f t="shared" si="5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 t="array" ref="D37">_xlfn.XLOOKUP(C37,Referensi!$C$5:$C$11,Referensi!$E$5:$E$11,,-1)</f>
        <v/>
      </c>
      <c r="E37" s="56" t="str">
        <f t="array" ref="E37">_xlfn.XLOOKUP(C37,Referensi!$D$5:$D$11,Referensi!$F$5:$F$11,,-1)</f>
        <v/>
      </c>
      <c r="F37" s="33"/>
      <c r="G37" s="33"/>
      <c r="H37" s="38">
        <f t="shared" si="6"/>
        <v>0</v>
      </c>
      <c r="I37" s="38" t="str">
        <f t="shared" si="1"/>
        <v/>
      </c>
      <c r="J37" s="57">
        <f t="shared" si="2"/>
        <v>0</v>
      </c>
      <c r="K37" s="58">
        <f t="shared" si="3"/>
        <v>0</v>
      </c>
      <c r="L37" s="33"/>
      <c r="M37" s="58">
        <f t="shared" si="4"/>
        <v>0</v>
      </c>
      <c r="N37" s="58" t="str">
        <f t="shared" si="5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 t="array" ref="D38">_xlfn.XLOOKUP(C38,Referensi!$C$5:$C$11,Referensi!$E$5:$E$11,,-1)</f>
        <v/>
      </c>
      <c r="E38" s="56" t="str">
        <f t="array" ref="E38">_xlfn.XLOOKUP(C38,Referensi!$D$5:$D$11,Referensi!$F$5:$F$11,,-1)</f>
        <v/>
      </c>
      <c r="F38" s="33"/>
      <c r="G38" s="33"/>
      <c r="H38" s="38">
        <f t="shared" si="6"/>
        <v>0</v>
      </c>
      <c r="I38" s="38" t="str">
        <f t="shared" si="1"/>
        <v/>
      </c>
      <c r="J38" s="57">
        <f t="shared" si="2"/>
        <v>0</v>
      </c>
      <c r="K38" s="58">
        <f t="shared" si="3"/>
        <v>0</v>
      </c>
      <c r="L38" s="33"/>
      <c r="M38" s="58">
        <f t="shared" si="4"/>
        <v>0</v>
      </c>
      <c r="N38" s="58" t="str">
        <f t="shared" si="5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 t="array" ref="D39">_xlfn.XLOOKUP(C39,Referensi!$C$5:$C$11,Referensi!$E$5:$E$11,,-1)</f>
        <v/>
      </c>
      <c r="E39" s="56" t="str">
        <f t="array" ref="E39">_xlfn.XLOOKUP(C39,Referensi!$D$5:$D$11,Referensi!$F$5:$F$11,,-1)</f>
        <v/>
      </c>
      <c r="F39" s="33"/>
      <c r="G39" s="33"/>
      <c r="H39" s="38">
        <f t="shared" si="6"/>
        <v>0</v>
      </c>
      <c r="I39" s="38" t="str">
        <f t="shared" si="1"/>
        <v/>
      </c>
      <c r="J39" s="57">
        <f t="shared" si="2"/>
        <v>0</v>
      </c>
      <c r="K39" s="58">
        <f t="shared" si="3"/>
        <v>0</v>
      </c>
      <c r="L39" s="33"/>
      <c r="M39" s="58">
        <f t="shared" si="4"/>
        <v>0</v>
      </c>
      <c r="N39" s="58" t="str">
        <f t="shared" si="5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60">
        <v>28.0</v>
      </c>
      <c r="C40" s="33"/>
      <c r="D40" s="56" t="str">
        <f t="array" ref="D40">_xlfn.XLOOKUP(C40,Referensi!$C$5:$C$11,Referensi!$E$5:$E$11,,-1)</f>
        <v/>
      </c>
      <c r="E40" s="56" t="str">
        <f t="array" ref="E40">_xlfn.XLOOKUP(C40,Referensi!$D$5:$D$11,Referensi!$F$5:$F$11,,-1)</f>
        <v/>
      </c>
      <c r="F40" s="33"/>
      <c r="G40" s="33"/>
      <c r="H40" s="38">
        <f t="shared" si="6"/>
        <v>0</v>
      </c>
      <c r="I40" s="38" t="str">
        <f t="shared" si="1"/>
        <v/>
      </c>
      <c r="J40" s="57">
        <f t="shared" si="2"/>
        <v>0</v>
      </c>
      <c r="K40" s="58">
        <f t="shared" si="3"/>
        <v>0</v>
      </c>
      <c r="L40" s="33"/>
      <c r="M40" s="58">
        <f t="shared" si="4"/>
        <v>0</v>
      </c>
      <c r="N40" s="58" t="str">
        <f t="shared" si="5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 t="array" ref="D41">_xlfn.XLOOKUP(C41,Referensi!$C$5:$C$11,Referensi!$E$5:$E$11,,-1)</f>
        <v/>
      </c>
      <c r="E41" s="56" t="str">
        <f t="array" ref="E41">_xlfn.XLOOKUP(C41,Referensi!$D$5:$D$11,Referensi!$F$5:$F$11,,-1)</f>
        <v/>
      </c>
      <c r="F41" s="33"/>
      <c r="G41" s="33"/>
      <c r="H41" s="38">
        <f t="shared" si="6"/>
        <v>0</v>
      </c>
      <c r="I41" s="38" t="str">
        <f t="shared" si="1"/>
        <v/>
      </c>
      <c r="J41" s="57">
        <f t="shared" si="2"/>
        <v>0</v>
      </c>
      <c r="K41" s="58">
        <f t="shared" si="3"/>
        <v>0</v>
      </c>
      <c r="L41" s="33"/>
      <c r="M41" s="58">
        <f t="shared" si="4"/>
        <v>0</v>
      </c>
      <c r="N41" s="58" t="str">
        <f t="shared" si="5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 t="array" ref="D42">_xlfn.XLOOKUP(C42,Referensi!$C$5:$C$11,Referensi!$E$5:$E$11,,-1)</f>
        <v/>
      </c>
      <c r="E42" s="56" t="str">
        <f t="array" ref="E42">_xlfn.XLOOKUP(C42,Referensi!$D$5:$D$11,Referensi!$F$5:$F$11,,-1)</f>
        <v/>
      </c>
      <c r="F42" s="33"/>
      <c r="G42" s="33"/>
      <c r="H42" s="38">
        <f t="shared" si="6"/>
        <v>0</v>
      </c>
      <c r="I42" s="38" t="str">
        <f t="shared" si="1"/>
        <v/>
      </c>
      <c r="J42" s="57">
        <f t="shared" si="2"/>
        <v>0</v>
      </c>
      <c r="K42" s="58">
        <f t="shared" si="3"/>
        <v>0</v>
      </c>
      <c r="L42" s="33"/>
      <c r="M42" s="58">
        <f t="shared" si="4"/>
        <v>0</v>
      </c>
      <c r="N42" s="58" t="str">
        <f t="shared" si="5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 t="array" ref="D43">_xlfn.XLOOKUP(C43,Referensi!$C$5:$C$11,Referensi!$E$5:$E$11,,-1)</f>
        <v/>
      </c>
      <c r="E43" s="56" t="str">
        <f t="array" ref="E43">_xlfn.XLOOKUP(C43,Referensi!$D$5:$D$11,Referensi!$F$5:$F$11,,-1)</f>
        <v/>
      </c>
      <c r="F43" s="33"/>
      <c r="G43" s="33"/>
      <c r="H43" s="38">
        <f t="shared" si="6"/>
        <v>0</v>
      </c>
      <c r="I43" s="38" t="str">
        <f t="shared" si="1"/>
        <v/>
      </c>
      <c r="J43" s="57">
        <f t="shared" si="2"/>
        <v>0</v>
      </c>
      <c r="K43" s="58">
        <f t="shared" si="3"/>
        <v>0</v>
      </c>
      <c r="L43" s="33"/>
      <c r="M43" s="58">
        <f t="shared" si="4"/>
        <v>0</v>
      </c>
      <c r="N43" s="58" t="str">
        <f t="shared" si="5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 t="array" ref="D44">_xlfn.XLOOKUP(C44,Referensi!$C$5:$C$11,Referensi!$E$5:$E$11,,-1)</f>
        <v/>
      </c>
      <c r="E44" s="56" t="str">
        <f t="array" ref="E44">_xlfn.XLOOKUP(C44,Referensi!$D$5:$D$11,Referensi!$F$5:$F$11,,-1)</f>
        <v/>
      </c>
      <c r="F44" s="33"/>
      <c r="G44" s="33"/>
      <c r="H44" s="38">
        <f t="shared" si="6"/>
        <v>0</v>
      </c>
      <c r="I44" s="38" t="str">
        <f t="shared" si="1"/>
        <v/>
      </c>
      <c r="J44" s="57">
        <f t="shared" si="2"/>
        <v>0</v>
      </c>
      <c r="K44" s="58">
        <f t="shared" si="3"/>
        <v>0</v>
      </c>
      <c r="L44" s="33"/>
      <c r="M44" s="58">
        <f t="shared" si="4"/>
        <v>0</v>
      </c>
      <c r="N44" s="58" t="str">
        <f t="shared" si="5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 t="array" ref="D45">_xlfn.XLOOKUP(C45,Referensi!$C$5:$C$11,Referensi!$E$5:$E$11,,-1)</f>
        <v/>
      </c>
      <c r="E45" s="56" t="str">
        <f t="array" ref="E45">_xlfn.XLOOKUP(C45,Referensi!$D$5:$D$11,Referensi!$F$5:$F$11,,-1)</f>
        <v/>
      </c>
      <c r="F45" s="33"/>
      <c r="G45" s="33"/>
      <c r="H45" s="38">
        <f t="shared" si="6"/>
        <v>0</v>
      </c>
      <c r="I45" s="38" t="str">
        <f t="shared" si="1"/>
        <v/>
      </c>
      <c r="J45" s="57">
        <f t="shared" si="2"/>
        <v>0</v>
      </c>
      <c r="K45" s="58">
        <f t="shared" si="3"/>
        <v>0</v>
      </c>
      <c r="L45" s="33"/>
      <c r="M45" s="58">
        <f t="shared" si="4"/>
        <v>0</v>
      </c>
      <c r="N45" s="58" t="str">
        <f t="shared" si="5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 t="array" ref="D46">_xlfn.XLOOKUP(C46,Referensi!$C$5:$C$11,Referensi!$E$5:$E$11,,-1)</f>
        <v/>
      </c>
      <c r="E46" s="56" t="str">
        <f t="array" ref="E46">_xlfn.XLOOKUP(C46,Referensi!$D$5:$D$11,Referensi!$F$5:$F$11,,-1)</f>
        <v/>
      </c>
      <c r="F46" s="33"/>
      <c r="G46" s="33"/>
      <c r="H46" s="38">
        <f t="shared" si="6"/>
        <v>0</v>
      </c>
      <c r="I46" s="38" t="str">
        <f t="shared" si="1"/>
        <v/>
      </c>
      <c r="J46" s="57">
        <f t="shared" si="2"/>
        <v>0</v>
      </c>
      <c r="K46" s="58">
        <f t="shared" si="3"/>
        <v>0</v>
      </c>
      <c r="L46" s="33"/>
      <c r="M46" s="58">
        <f t="shared" si="4"/>
        <v>0</v>
      </c>
      <c r="N46" s="58" t="str">
        <f t="shared" si="5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60">
        <v>35.0</v>
      </c>
      <c r="C47" s="33"/>
      <c r="D47" s="56" t="str">
        <f t="array" ref="D47">_xlfn.XLOOKUP(C47,Referensi!$C$5:$C$11,Referensi!$E$5:$E$11,,-1)</f>
        <v/>
      </c>
      <c r="E47" s="56" t="str">
        <f t="array" ref="E47">_xlfn.XLOOKUP(C47,Referensi!$D$5:$D$11,Referensi!$F$5:$F$11,,-1)</f>
        <v/>
      </c>
      <c r="F47" s="33"/>
      <c r="G47" s="33"/>
      <c r="H47" s="38">
        <f t="shared" si="6"/>
        <v>0</v>
      </c>
      <c r="I47" s="38" t="str">
        <f t="shared" si="1"/>
        <v/>
      </c>
      <c r="J47" s="57">
        <f t="shared" si="2"/>
        <v>0</v>
      </c>
      <c r="K47" s="58">
        <f t="shared" si="3"/>
        <v>0</v>
      </c>
      <c r="L47" s="33"/>
      <c r="M47" s="58">
        <f t="shared" si="4"/>
        <v>0</v>
      </c>
      <c r="N47" s="58" t="str">
        <f t="shared" si="5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 t="array" ref="D48">_xlfn.XLOOKUP(C48,Referensi!$C$5:$C$11,Referensi!$E$5:$E$11,,-1)</f>
        <v/>
      </c>
      <c r="E48" s="56" t="str">
        <f t="array" ref="E48">_xlfn.XLOOKUP(C48,Referensi!$D$5:$D$11,Referensi!$F$5:$F$11,,-1)</f>
        <v/>
      </c>
      <c r="F48" s="33"/>
      <c r="G48" s="33"/>
      <c r="H48" s="38">
        <f t="shared" si="6"/>
        <v>0</v>
      </c>
      <c r="I48" s="38" t="str">
        <f t="shared" si="1"/>
        <v/>
      </c>
      <c r="J48" s="57">
        <f t="shared" si="2"/>
        <v>0</v>
      </c>
      <c r="K48" s="58">
        <f t="shared" si="3"/>
        <v>0</v>
      </c>
      <c r="L48" s="33"/>
      <c r="M48" s="58">
        <f t="shared" si="4"/>
        <v>0</v>
      </c>
      <c r="N48" s="58" t="str">
        <f t="shared" si="5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 t="array" ref="D49">_xlfn.XLOOKUP(C49,Referensi!$C$5:$C$11,Referensi!$E$5:$E$11,,-1)</f>
        <v/>
      </c>
      <c r="E49" s="56" t="str">
        <f t="array" ref="E49">_xlfn.XLOOKUP(C49,Referensi!$D$5:$D$11,Referensi!$F$5:$F$11,,-1)</f>
        <v/>
      </c>
      <c r="F49" s="33"/>
      <c r="G49" s="33"/>
      <c r="H49" s="38">
        <f t="shared" si="6"/>
        <v>0</v>
      </c>
      <c r="I49" s="38" t="str">
        <f t="shared" si="1"/>
        <v/>
      </c>
      <c r="J49" s="57">
        <f t="shared" si="2"/>
        <v>0</v>
      </c>
      <c r="K49" s="58">
        <f t="shared" si="3"/>
        <v>0</v>
      </c>
      <c r="L49" s="33"/>
      <c r="M49" s="58">
        <f t="shared" si="4"/>
        <v>0</v>
      </c>
      <c r="N49" s="58" t="str">
        <f t="shared" si="5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 t="array" ref="D50">_xlfn.XLOOKUP(C50,Referensi!$C$5:$C$11,Referensi!$E$5:$E$11,,-1)</f>
        <v/>
      </c>
      <c r="E50" s="56" t="str">
        <f t="array" ref="E50">_xlfn.XLOOKUP(C50,Referensi!$D$5:$D$11,Referensi!$F$5:$F$11,,-1)</f>
        <v/>
      </c>
      <c r="F50" s="33"/>
      <c r="G50" s="33"/>
      <c r="H50" s="38">
        <f t="shared" si="6"/>
        <v>0</v>
      </c>
      <c r="I50" s="38" t="str">
        <f t="shared" si="1"/>
        <v/>
      </c>
      <c r="J50" s="57">
        <f t="shared" si="2"/>
        <v>0</v>
      </c>
      <c r="K50" s="58">
        <f t="shared" si="3"/>
        <v>0</v>
      </c>
      <c r="L50" s="33"/>
      <c r="M50" s="58">
        <f t="shared" si="4"/>
        <v>0</v>
      </c>
      <c r="N50" s="58" t="str">
        <f t="shared" si="5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 t="array" ref="D51">_xlfn.XLOOKUP(C51,Referensi!$C$5:$C$11,Referensi!$E$5:$E$11,,-1)</f>
        <v/>
      </c>
      <c r="E51" s="56" t="str">
        <f t="array" ref="E51">_xlfn.XLOOKUP(C51,Referensi!$D$5:$D$11,Referensi!$F$5:$F$11,,-1)</f>
        <v/>
      </c>
      <c r="F51" s="33"/>
      <c r="G51" s="33"/>
      <c r="H51" s="38">
        <f t="shared" si="6"/>
        <v>0</v>
      </c>
      <c r="I51" s="38" t="str">
        <f t="shared" si="1"/>
        <v/>
      </c>
      <c r="J51" s="57">
        <f t="shared" si="2"/>
        <v>0</v>
      </c>
      <c r="K51" s="58">
        <f t="shared" si="3"/>
        <v>0</v>
      </c>
      <c r="L51" s="33"/>
      <c r="M51" s="58">
        <f t="shared" si="4"/>
        <v>0</v>
      </c>
      <c r="N51" s="58" t="str">
        <f t="shared" si="5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 t="array" ref="D52">_xlfn.XLOOKUP(C52,Referensi!$C$5:$C$11,Referensi!$E$5:$E$11,,-1)</f>
        <v/>
      </c>
      <c r="E52" s="56" t="str">
        <f t="array" ref="E52">_xlfn.XLOOKUP(C52,Referensi!$D$5:$D$11,Referensi!$F$5:$F$11,,-1)</f>
        <v/>
      </c>
      <c r="F52" s="33"/>
      <c r="G52" s="33"/>
      <c r="H52" s="38">
        <f t="shared" si="6"/>
        <v>0</v>
      </c>
      <c r="I52" s="38" t="str">
        <f t="shared" si="1"/>
        <v/>
      </c>
      <c r="J52" s="57">
        <f t="shared" si="2"/>
        <v>0</v>
      </c>
      <c r="K52" s="58">
        <f t="shared" si="3"/>
        <v>0</v>
      </c>
      <c r="L52" s="33"/>
      <c r="M52" s="58">
        <f t="shared" si="4"/>
        <v>0</v>
      </c>
      <c r="N52" s="58" t="str">
        <f t="shared" si="5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 t="array" ref="D53">_xlfn.XLOOKUP(C53,Referensi!$C$5:$C$11,Referensi!$E$5:$E$11,,-1)</f>
        <v/>
      </c>
      <c r="E53" s="56" t="str">
        <f t="array" ref="E53">_xlfn.XLOOKUP(C53,Referensi!$D$5:$D$11,Referensi!$F$5:$F$11,,-1)</f>
        <v/>
      </c>
      <c r="F53" s="33"/>
      <c r="G53" s="33"/>
      <c r="H53" s="38">
        <f t="shared" si="6"/>
        <v>0</v>
      </c>
      <c r="I53" s="38" t="str">
        <f t="shared" si="1"/>
        <v/>
      </c>
      <c r="J53" s="57">
        <f t="shared" si="2"/>
        <v>0</v>
      </c>
      <c r="K53" s="58">
        <f t="shared" si="3"/>
        <v>0</v>
      </c>
      <c r="L53" s="33"/>
      <c r="M53" s="58">
        <f t="shared" si="4"/>
        <v>0</v>
      </c>
      <c r="N53" s="58" t="str">
        <f t="shared" si="5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60">
        <v>42.0</v>
      </c>
      <c r="C54" s="33"/>
      <c r="D54" s="56" t="str">
        <f t="array" ref="D54">_xlfn.XLOOKUP(C54,Referensi!$C$5:$C$11,Referensi!$E$5:$E$11,,-1)</f>
        <v/>
      </c>
      <c r="E54" s="56" t="str">
        <f t="array" ref="E54">_xlfn.XLOOKUP(C54,Referensi!$D$5:$D$11,Referensi!$F$5:$F$11,,-1)</f>
        <v/>
      </c>
      <c r="F54" s="33"/>
      <c r="G54" s="33"/>
      <c r="H54" s="38">
        <f t="shared" si="6"/>
        <v>0</v>
      </c>
      <c r="I54" s="38" t="str">
        <f t="shared" si="1"/>
        <v/>
      </c>
      <c r="J54" s="57">
        <f t="shared" si="2"/>
        <v>0</v>
      </c>
      <c r="K54" s="58">
        <f t="shared" si="3"/>
        <v>0</v>
      </c>
      <c r="L54" s="33"/>
      <c r="M54" s="58">
        <f t="shared" si="4"/>
        <v>0</v>
      </c>
      <c r="N54" s="58" t="str">
        <f t="shared" si="5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 t="array" ref="D55">_xlfn.XLOOKUP(C55,Referensi!$C$5:$C$11,Referensi!$E$5:$E$11,,-1)</f>
        <v/>
      </c>
      <c r="E55" s="56" t="str">
        <f t="array" ref="E55">_xlfn.XLOOKUP(C55,Referensi!$D$5:$D$11,Referensi!$F$5:$F$11,,-1)</f>
        <v/>
      </c>
      <c r="F55" s="33"/>
      <c r="G55" s="33"/>
      <c r="H55" s="38">
        <f t="shared" si="6"/>
        <v>0</v>
      </c>
      <c r="I55" s="38" t="str">
        <f t="shared" si="1"/>
        <v/>
      </c>
      <c r="J55" s="57">
        <f t="shared" si="2"/>
        <v>0</v>
      </c>
      <c r="K55" s="58">
        <f t="shared" si="3"/>
        <v>0</v>
      </c>
      <c r="L55" s="33"/>
      <c r="M55" s="58">
        <f t="shared" si="4"/>
        <v>0</v>
      </c>
      <c r="N55" s="58" t="str">
        <f t="shared" si="5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 t="array" ref="D56">_xlfn.XLOOKUP(C56,Referensi!$C$5:$C$11,Referensi!$E$5:$E$11,,-1)</f>
        <v/>
      </c>
      <c r="E56" s="56" t="str">
        <f t="array" ref="E56">_xlfn.XLOOKUP(C56,Referensi!$D$5:$D$11,Referensi!$F$5:$F$11,,-1)</f>
        <v/>
      </c>
      <c r="F56" s="33"/>
      <c r="G56" s="33"/>
      <c r="H56" s="38">
        <f t="shared" si="6"/>
        <v>0</v>
      </c>
      <c r="I56" s="38" t="str">
        <f t="shared" si="1"/>
        <v/>
      </c>
      <c r="J56" s="57">
        <f t="shared" si="2"/>
        <v>0</v>
      </c>
      <c r="K56" s="58">
        <f t="shared" si="3"/>
        <v>0</v>
      </c>
      <c r="L56" s="33"/>
      <c r="M56" s="58">
        <f t="shared" si="4"/>
        <v>0</v>
      </c>
      <c r="N56" s="58" t="str">
        <f t="shared" si="5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 t="array" ref="D57">_xlfn.XLOOKUP(C57,Referensi!$C$5:$C$11,Referensi!$E$5:$E$11,,-1)</f>
        <v/>
      </c>
      <c r="E57" s="56" t="str">
        <f t="array" ref="E57">_xlfn.XLOOKUP(C57,Referensi!$D$5:$D$11,Referensi!$F$5:$F$11,,-1)</f>
        <v/>
      </c>
      <c r="F57" s="33"/>
      <c r="G57" s="33"/>
      <c r="H57" s="38">
        <f t="shared" si="6"/>
        <v>0</v>
      </c>
      <c r="I57" s="38" t="str">
        <f t="shared" si="1"/>
        <v/>
      </c>
      <c r="J57" s="57">
        <f t="shared" si="2"/>
        <v>0</v>
      </c>
      <c r="K57" s="58">
        <f t="shared" si="3"/>
        <v>0</v>
      </c>
      <c r="L57" s="33"/>
      <c r="M57" s="58">
        <f t="shared" si="4"/>
        <v>0</v>
      </c>
      <c r="N57" s="58" t="str">
        <f t="shared" si="5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 t="array" ref="D58">_xlfn.XLOOKUP(C58,Referensi!$C$5:$C$11,Referensi!$E$5:$E$11,,-1)</f>
        <v/>
      </c>
      <c r="E58" s="56" t="str">
        <f t="array" ref="E58">_xlfn.XLOOKUP(C58,Referensi!$D$5:$D$11,Referensi!$F$5:$F$11,,-1)</f>
        <v/>
      </c>
      <c r="F58" s="33"/>
      <c r="G58" s="33"/>
      <c r="H58" s="38">
        <f t="shared" si="6"/>
        <v>0</v>
      </c>
      <c r="I58" s="38" t="str">
        <f t="shared" si="1"/>
        <v/>
      </c>
      <c r="J58" s="57">
        <f t="shared" si="2"/>
        <v>0</v>
      </c>
      <c r="K58" s="58">
        <f t="shared" si="3"/>
        <v>0</v>
      </c>
      <c r="L58" s="33"/>
      <c r="M58" s="58">
        <f t="shared" si="4"/>
        <v>0</v>
      </c>
      <c r="N58" s="58" t="str">
        <f t="shared" si="5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 t="array" ref="D59">_xlfn.XLOOKUP(C59,Referensi!$C$5:$C$11,Referensi!$E$5:$E$11,,-1)</f>
        <v/>
      </c>
      <c r="E59" s="56" t="str">
        <f t="array" ref="E59">_xlfn.XLOOKUP(C59,Referensi!$D$5:$D$11,Referensi!$F$5:$F$11,,-1)</f>
        <v/>
      </c>
      <c r="F59" s="33"/>
      <c r="G59" s="33"/>
      <c r="H59" s="38">
        <f t="shared" si="6"/>
        <v>0</v>
      </c>
      <c r="I59" s="38" t="str">
        <f t="shared" si="1"/>
        <v/>
      </c>
      <c r="J59" s="57">
        <f t="shared" si="2"/>
        <v>0</v>
      </c>
      <c r="K59" s="58">
        <f t="shared" si="3"/>
        <v>0</v>
      </c>
      <c r="L59" s="33"/>
      <c r="M59" s="58">
        <f t="shared" si="4"/>
        <v>0</v>
      </c>
      <c r="N59" s="58" t="str">
        <f t="shared" si="5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 t="array" ref="D60">_xlfn.XLOOKUP(C60,Referensi!$C$5:$C$11,Referensi!$E$5:$E$11,,-1)</f>
        <v/>
      </c>
      <c r="E60" s="56" t="str">
        <f t="array" ref="E60">_xlfn.XLOOKUP(C60,Referensi!$D$5:$D$11,Referensi!$F$5:$F$11,,-1)</f>
        <v/>
      </c>
      <c r="F60" s="33"/>
      <c r="G60" s="33"/>
      <c r="H60" s="38">
        <f t="shared" si="6"/>
        <v>0</v>
      </c>
      <c r="I60" s="38" t="str">
        <f t="shared" si="1"/>
        <v/>
      </c>
      <c r="J60" s="57">
        <f t="shared" si="2"/>
        <v>0</v>
      </c>
      <c r="K60" s="58">
        <f t="shared" si="3"/>
        <v>0</v>
      </c>
      <c r="L60" s="33"/>
      <c r="M60" s="58">
        <f t="shared" si="4"/>
        <v>0</v>
      </c>
      <c r="N60" s="58" t="str">
        <f t="shared" si="5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60">
        <v>49.0</v>
      </c>
      <c r="C61" s="33"/>
      <c r="D61" s="56" t="str">
        <f t="array" ref="D61">_xlfn.XLOOKUP(C61,Referensi!$C$5:$C$11,Referensi!$E$5:$E$11,,-1)</f>
        <v/>
      </c>
      <c r="E61" s="56" t="str">
        <f t="array" ref="E61">_xlfn.XLOOKUP(C61,Referensi!$D$5:$D$11,Referensi!$F$5:$F$11,,-1)</f>
        <v/>
      </c>
      <c r="F61" s="33"/>
      <c r="G61" s="33"/>
      <c r="H61" s="38">
        <f t="shared" si="6"/>
        <v>0</v>
      </c>
      <c r="I61" s="38" t="str">
        <f t="shared" si="1"/>
        <v/>
      </c>
      <c r="J61" s="57">
        <f t="shared" si="2"/>
        <v>0</v>
      </c>
      <c r="K61" s="58">
        <f t="shared" si="3"/>
        <v>0</v>
      </c>
      <c r="L61" s="33"/>
      <c r="M61" s="58">
        <f t="shared" si="4"/>
        <v>0</v>
      </c>
      <c r="N61" s="58" t="str">
        <f t="shared" si="5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 t="array" ref="D62">_xlfn.XLOOKUP(C62,Referensi!$C$5:$C$11,Referensi!$E$5:$E$11,,-1)</f>
        <v/>
      </c>
      <c r="E62" s="56" t="str">
        <f t="array" ref="E62">_xlfn.XLOOKUP(C62,Referensi!$D$5:$D$11,Referensi!$F$5:$F$11,,-1)</f>
        <v/>
      </c>
      <c r="F62" s="33"/>
      <c r="G62" s="33"/>
      <c r="H62" s="38">
        <f t="shared" si="6"/>
        <v>0</v>
      </c>
      <c r="I62" s="38" t="str">
        <f t="shared" si="1"/>
        <v/>
      </c>
      <c r="J62" s="57">
        <f t="shared" si="2"/>
        <v>0</v>
      </c>
      <c r="K62" s="58">
        <f t="shared" si="3"/>
        <v>0</v>
      </c>
      <c r="L62" s="33"/>
      <c r="M62" s="58">
        <f t="shared" si="4"/>
        <v>0</v>
      </c>
      <c r="N62" s="58" t="str">
        <f t="shared" si="5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 t="array" ref="D63">_xlfn.XLOOKUP(C63,Referensi!$C$5:$C$11,Referensi!$E$5:$E$11,,-1)</f>
        <v/>
      </c>
      <c r="E63" s="56" t="str">
        <f t="array" ref="E63">_xlfn.XLOOKUP(C63,Referensi!$D$5:$D$11,Referensi!$F$5:$F$11,,-1)</f>
        <v/>
      </c>
      <c r="F63" s="33"/>
      <c r="G63" s="33"/>
      <c r="H63" s="38">
        <f t="shared" si="6"/>
        <v>0</v>
      </c>
      <c r="I63" s="38" t="str">
        <f t="shared" si="1"/>
        <v/>
      </c>
      <c r="J63" s="57">
        <f t="shared" si="2"/>
        <v>0</v>
      </c>
      <c r="K63" s="58">
        <f t="shared" si="3"/>
        <v>0</v>
      </c>
      <c r="L63" s="33"/>
      <c r="M63" s="58">
        <f t="shared" si="4"/>
        <v>0</v>
      </c>
      <c r="N63" s="58" t="str">
        <f t="shared" si="5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 t="array" ref="D64">_xlfn.XLOOKUP(C64,Referensi!$C$5:$C$11,Referensi!$E$5:$E$11,,-1)</f>
        <v/>
      </c>
      <c r="E64" s="56" t="str">
        <f t="array" ref="E64">_xlfn.XLOOKUP(C64,Referensi!$D$5:$D$11,Referensi!$F$5:$F$11,,-1)</f>
        <v/>
      </c>
      <c r="F64" s="33"/>
      <c r="G64" s="33"/>
      <c r="H64" s="38">
        <f t="shared" si="6"/>
        <v>0</v>
      </c>
      <c r="I64" s="38" t="str">
        <f t="shared" si="1"/>
        <v/>
      </c>
      <c r="J64" s="57">
        <f t="shared" si="2"/>
        <v>0</v>
      </c>
      <c r="K64" s="58">
        <f t="shared" si="3"/>
        <v>0</v>
      </c>
      <c r="L64" s="33"/>
      <c r="M64" s="58">
        <f t="shared" si="4"/>
        <v>0</v>
      </c>
      <c r="N64" s="58" t="str">
        <f t="shared" si="5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 t="array" ref="D65">_xlfn.XLOOKUP(C65,Referensi!$C$5:$C$11,Referensi!$E$5:$E$11,,-1)</f>
        <v/>
      </c>
      <c r="E65" s="56" t="str">
        <f t="array" ref="E65">_xlfn.XLOOKUP(C65,Referensi!$D$5:$D$11,Referensi!$F$5:$F$11,,-1)</f>
        <v/>
      </c>
      <c r="F65" s="33"/>
      <c r="G65" s="33"/>
      <c r="H65" s="38">
        <f t="shared" si="6"/>
        <v>0</v>
      </c>
      <c r="I65" s="38" t="str">
        <f t="shared" si="1"/>
        <v/>
      </c>
      <c r="J65" s="57">
        <f t="shared" si="2"/>
        <v>0</v>
      </c>
      <c r="K65" s="58">
        <f t="shared" si="3"/>
        <v>0</v>
      </c>
      <c r="L65" s="33"/>
      <c r="M65" s="58">
        <f t="shared" si="4"/>
        <v>0</v>
      </c>
      <c r="N65" s="58" t="str">
        <f t="shared" si="5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 t="array" ref="D66">_xlfn.XLOOKUP(C66,Referensi!$C$5:$C$11,Referensi!$E$5:$E$11,,-1)</f>
        <v/>
      </c>
      <c r="E66" s="56" t="str">
        <f t="array" ref="E66">_xlfn.XLOOKUP(C66,Referensi!$D$5:$D$11,Referensi!$F$5:$F$11,,-1)</f>
        <v/>
      </c>
      <c r="F66" s="33"/>
      <c r="G66" s="33"/>
      <c r="H66" s="38">
        <f t="shared" si="6"/>
        <v>0</v>
      </c>
      <c r="I66" s="38" t="str">
        <f t="shared" si="1"/>
        <v/>
      </c>
      <c r="J66" s="57">
        <f t="shared" si="2"/>
        <v>0</v>
      </c>
      <c r="K66" s="58">
        <f t="shared" si="3"/>
        <v>0</v>
      </c>
      <c r="L66" s="33"/>
      <c r="M66" s="58">
        <f t="shared" si="4"/>
        <v>0</v>
      </c>
      <c r="N66" s="58" t="str">
        <f t="shared" si="5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 t="array" ref="D67">_xlfn.XLOOKUP(C67,Referensi!$C$5:$C$11,Referensi!$E$5:$E$11,,-1)</f>
        <v/>
      </c>
      <c r="E67" s="56" t="str">
        <f t="array" ref="E67">_xlfn.XLOOKUP(C67,Referensi!$D$5:$D$11,Referensi!$F$5:$F$11,,-1)</f>
        <v/>
      </c>
      <c r="F67" s="33"/>
      <c r="G67" s="33"/>
      <c r="H67" s="38">
        <f t="shared" si="6"/>
        <v>0</v>
      </c>
      <c r="I67" s="38" t="str">
        <f t="shared" si="1"/>
        <v/>
      </c>
      <c r="J67" s="57">
        <f t="shared" si="2"/>
        <v>0</v>
      </c>
      <c r="K67" s="58">
        <f t="shared" si="3"/>
        <v>0</v>
      </c>
      <c r="L67" s="33"/>
      <c r="M67" s="58">
        <f t="shared" si="4"/>
        <v>0</v>
      </c>
      <c r="N67" s="58" t="str">
        <f t="shared" si="5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60">
        <v>56.0</v>
      </c>
      <c r="C68" s="33"/>
      <c r="D68" s="56" t="str">
        <f t="array" ref="D68">_xlfn.XLOOKUP(C68,Referensi!$C$5:$C$11,Referensi!$E$5:$E$11,,-1)</f>
        <v/>
      </c>
      <c r="E68" s="56" t="str">
        <f t="array" ref="E68">_xlfn.XLOOKUP(C68,Referensi!$D$5:$D$11,Referensi!$F$5:$F$11,,-1)</f>
        <v/>
      </c>
      <c r="F68" s="33"/>
      <c r="G68" s="33"/>
      <c r="H68" s="38">
        <f t="shared" si="6"/>
        <v>0</v>
      </c>
      <c r="I68" s="38" t="str">
        <f t="shared" si="1"/>
        <v/>
      </c>
      <c r="J68" s="57">
        <f t="shared" si="2"/>
        <v>0</v>
      </c>
      <c r="K68" s="58">
        <f t="shared" si="3"/>
        <v>0</v>
      </c>
      <c r="L68" s="33"/>
      <c r="M68" s="58">
        <f t="shared" si="4"/>
        <v>0</v>
      </c>
      <c r="N68" s="58" t="str">
        <f t="shared" si="5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 t="array" ref="D69">_xlfn.XLOOKUP(C69,Referensi!$C$5:$C$11,Referensi!$E$5:$E$11,,-1)</f>
        <v/>
      </c>
      <c r="E69" s="56" t="str">
        <f t="array" ref="E69">_xlfn.XLOOKUP(C69,Referensi!$D$5:$D$11,Referensi!$F$5:$F$11,,-1)</f>
        <v/>
      </c>
      <c r="F69" s="33"/>
      <c r="G69" s="33"/>
      <c r="H69" s="38">
        <f t="shared" si="6"/>
        <v>0</v>
      </c>
      <c r="I69" s="38" t="str">
        <f t="shared" si="1"/>
        <v/>
      </c>
      <c r="J69" s="57">
        <f t="shared" si="2"/>
        <v>0</v>
      </c>
      <c r="K69" s="58">
        <f t="shared" si="3"/>
        <v>0</v>
      </c>
      <c r="L69" s="33"/>
      <c r="M69" s="58">
        <f t="shared" si="4"/>
        <v>0</v>
      </c>
      <c r="N69" s="58" t="str">
        <f t="shared" si="5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 t="array" ref="D70">_xlfn.XLOOKUP(C70,Referensi!$C$5:$C$11,Referensi!$E$5:$E$11,,-1)</f>
        <v/>
      </c>
      <c r="E70" s="56" t="str">
        <f t="array" ref="E70">_xlfn.XLOOKUP(C70,Referensi!$D$5:$D$11,Referensi!$F$5:$F$11,,-1)</f>
        <v/>
      </c>
      <c r="F70" s="33"/>
      <c r="G70" s="33"/>
      <c r="H70" s="38">
        <f t="shared" si="6"/>
        <v>0</v>
      </c>
      <c r="I70" s="38" t="str">
        <f t="shared" si="1"/>
        <v/>
      </c>
      <c r="J70" s="57">
        <f t="shared" si="2"/>
        <v>0</v>
      </c>
      <c r="K70" s="58">
        <f t="shared" si="3"/>
        <v>0</v>
      </c>
      <c r="L70" s="33"/>
      <c r="M70" s="58">
        <f t="shared" si="4"/>
        <v>0</v>
      </c>
      <c r="N70" s="58" t="str">
        <f t="shared" si="5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 t="array" ref="D71">_xlfn.XLOOKUP(C71,Referensi!$C$5:$C$11,Referensi!$E$5:$E$11,,-1)</f>
        <v/>
      </c>
      <c r="E71" s="56" t="str">
        <f t="array" ref="E71">_xlfn.XLOOKUP(C71,Referensi!$D$5:$D$11,Referensi!$F$5:$F$11,,-1)</f>
        <v/>
      </c>
      <c r="F71" s="33"/>
      <c r="G71" s="33"/>
      <c r="H71" s="38">
        <f t="shared" si="6"/>
        <v>0</v>
      </c>
      <c r="I71" s="38" t="str">
        <f t="shared" si="1"/>
        <v/>
      </c>
      <c r="J71" s="57">
        <f t="shared" si="2"/>
        <v>0</v>
      </c>
      <c r="K71" s="58">
        <f t="shared" si="3"/>
        <v>0</v>
      </c>
      <c r="L71" s="33"/>
      <c r="M71" s="58">
        <f t="shared" si="4"/>
        <v>0</v>
      </c>
      <c r="N71" s="58" t="str">
        <f t="shared" si="5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 t="array" ref="D72">_xlfn.XLOOKUP(C72,Referensi!$C$5:$C$11,Referensi!$E$5:$E$11,,-1)</f>
        <v/>
      </c>
      <c r="E72" s="56" t="str">
        <f t="array" ref="E72">_xlfn.XLOOKUP(C72,Referensi!$D$5:$D$11,Referensi!$F$5:$F$11,,-1)</f>
        <v/>
      </c>
      <c r="F72" s="33"/>
      <c r="G72" s="33"/>
      <c r="H72" s="38">
        <f t="shared" si="6"/>
        <v>0</v>
      </c>
      <c r="I72" s="38" t="str">
        <f t="shared" si="1"/>
        <v/>
      </c>
      <c r="J72" s="57">
        <f t="shared" si="2"/>
        <v>0</v>
      </c>
      <c r="K72" s="58">
        <f t="shared" si="3"/>
        <v>0</v>
      </c>
      <c r="L72" s="33"/>
      <c r="M72" s="58">
        <f t="shared" si="4"/>
        <v>0</v>
      </c>
      <c r="N72" s="58" t="str">
        <f t="shared" si="5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 t="array" ref="D73">_xlfn.XLOOKUP(C73,Referensi!$C$5:$C$11,Referensi!$E$5:$E$11,,-1)</f>
        <v/>
      </c>
      <c r="E73" s="56" t="str">
        <f t="array" ref="E73">_xlfn.XLOOKUP(C73,Referensi!$D$5:$D$11,Referensi!$F$5:$F$11,,-1)</f>
        <v/>
      </c>
      <c r="F73" s="33"/>
      <c r="G73" s="33"/>
      <c r="H73" s="38">
        <f t="shared" si="6"/>
        <v>0</v>
      </c>
      <c r="I73" s="38" t="str">
        <f t="shared" si="1"/>
        <v/>
      </c>
      <c r="J73" s="57">
        <f t="shared" si="2"/>
        <v>0</v>
      </c>
      <c r="K73" s="58">
        <f t="shared" si="3"/>
        <v>0</v>
      </c>
      <c r="L73" s="33"/>
      <c r="M73" s="58">
        <f t="shared" si="4"/>
        <v>0</v>
      </c>
      <c r="N73" s="58" t="str">
        <f t="shared" si="5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 t="array" ref="D74">_xlfn.XLOOKUP(C74,Referensi!$C$5:$C$11,Referensi!$E$5:$E$11,,-1)</f>
        <v/>
      </c>
      <c r="E74" s="56" t="str">
        <f t="array" ref="E74">_xlfn.XLOOKUP(C74,Referensi!$D$5:$D$11,Referensi!$F$5:$F$11,,-1)</f>
        <v/>
      </c>
      <c r="F74" s="33"/>
      <c r="G74" s="33"/>
      <c r="H74" s="38">
        <f t="shared" si="6"/>
        <v>0</v>
      </c>
      <c r="I74" s="38" t="str">
        <f t="shared" si="1"/>
        <v/>
      </c>
      <c r="J74" s="57">
        <f t="shared" si="2"/>
        <v>0</v>
      </c>
      <c r="K74" s="58">
        <f t="shared" si="3"/>
        <v>0</v>
      </c>
      <c r="L74" s="33"/>
      <c r="M74" s="58">
        <f t="shared" si="4"/>
        <v>0</v>
      </c>
      <c r="N74" s="58" t="str">
        <f t="shared" si="5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60">
        <v>63.0</v>
      </c>
      <c r="C75" s="33"/>
      <c r="D75" s="56" t="str">
        <f t="array" ref="D75">_xlfn.XLOOKUP(C75,Referensi!$C$5:$C$11,Referensi!$E$5:$E$11,,-1)</f>
        <v/>
      </c>
      <c r="E75" s="56" t="str">
        <f t="array" ref="E75">_xlfn.XLOOKUP(C75,Referensi!$D$5:$D$11,Referensi!$F$5:$F$11,,-1)</f>
        <v/>
      </c>
      <c r="F75" s="33"/>
      <c r="G75" s="33"/>
      <c r="H75" s="38">
        <f t="shared" si="6"/>
        <v>0</v>
      </c>
      <c r="I75" s="38" t="str">
        <f t="shared" si="1"/>
        <v/>
      </c>
      <c r="J75" s="57">
        <f t="shared" si="2"/>
        <v>0</v>
      </c>
      <c r="K75" s="58">
        <f t="shared" si="3"/>
        <v>0</v>
      </c>
      <c r="L75" s="33"/>
      <c r="M75" s="58">
        <f t="shared" si="4"/>
        <v>0</v>
      </c>
      <c r="N75" s="58" t="str">
        <f t="shared" si="5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 t="array" ref="D76">_xlfn.XLOOKUP(C76,Referensi!$C$5:$C$11,Referensi!$E$5:$E$11,,-1)</f>
        <v/>
      </c>
      <c r="E76" s="56" t="str">
        <f t="array" ref="E76">_xlfn.XLOOKUP(C76,Referensi!$D$5:$D$11,Referensi!$F$5:$F$11,,-1)</f>
        <v/>
      </c>
      <c r="F76" s="33"/>
      <c r="G76" s="33"/>
      <c r="H76" s="38">
        <f t="shared" si="6"/>
        <v>0</v>
      </c>
      <c r="I76" s="38" t="str">
        <f t="shared" si="1"/>
        <v/>
      </c>
      <c r="J76" s="57">
        <f t="shared" si="2"/>
        <v>0</v>
      </c>
      <c r="K76" s="58">
        <f t="shared" si="3"/>
        <v>0</v>
      </c>
      <c r="L76" s="33"/>
      <c r="M76" s="58">
        <f t="shared" si="4"/>
        <v>0</v>
      </c>
      <c r="N76" s="58" t="str">
        <f t="shared" si="5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 t="array" ref="D77">_xlfn.XLOOKUP(C77,Referensi!$C$5:$C$11,Referensi!$E$5:$E$11,,-1)</f>
        <v/>
      </c>
      <c r="E77" s="56" t="str">
        <f t="array" ref="E77">_xlfn.XLOOKUP(C77,Referensi!$D$5:$D$11,Referensi!$F$5:$F$11,,-1)</f>
        <v/>
      </c>
      <c r="F77" s="33"/>
      <c r="G77" s="33"/>
      <c r="H77" s="38">
        <f t="shared" si="6"/>
        <v>0</v>
      </c>
      <c r="I77" s="38" t="str">
        <f t="shared" si="1"/>
        <v/>
      </c>
      <c r="J77" s="57">
        <f t="shared" si="2"/>
        <v>0</v>
      </c>
      <c r="K77" s="58">
        <f t="shared" si="3"/>
        <v>0</v>
      </c>
      <c r="L77" s="33"/>
      <c r="M77" s="58">
        <f t="shared" si="4"/>
        <v>0</v>
      </c>
      <c r="N77" s="58" t="str">
        <f t="shared" si="5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 t="array" ref="D78">_xlfn.XLOOKUP(C78,Referensi!$C$5:$C$11,Referensi!$E$5:$E$11,,-1)</f>
        <v/>
      </c>
      <c r="E78" s="56" t="str">
        <f t="array" ref="E78">_xlfn.XLOOKUP(C78,Referensi!$D$5:$D$11,Referensi!$F$5:$F$11,,-1)</f>
        <v/>
      </c>
      <c r="F78" s="33"/>
      <c r="G78" s="33"/>
      <c r="H78" s="38">
        <f t="shared" si="6"/>
        <v>0</v>
      </c>
      <c r="I78" s="38" t="str">
        <f t="shared" si="1"/>
        <v/>
      </c>
      <c r="J78" s="57">
        <f t="shared" si="2"/>
        <v>0</v>
      </c>
      <c r="K78" s="58">
        <f t="shared" si="3"/>
        <v>0</v>
      </c>
      <c r="L78" s="33"/>
      <c r="M78" s="58">
        <f t="shared" si="4"/>
        <v>0</v>
      </c>
      <c r="N78" s="58" t="str">
        <f t="shared" si="5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 t="array" ref="D79">_xlfn.XLOOKUP(C79,Referensi!$C$5:$C$11,Referensi!$E$5:$E$11,,-1)</f>
        <v/>
      </c>
      <c r="E79" s="56" t="str">
        <f t="array" ref="E79">_xlfn.XLOOKUP(C79,Referensi!$D$5:$D$11,Referensi!$F$5:$F$11,,-1)</f>
        <v/>
      </c>
      <c r="F79" s="33"/>
      <c r="G79" s="33"/>
      <c r="H79" s="38">
        <f t="shared" si="6"/>
        <v>0</v>
      </c>
      <c r="I79" s="38" t="str">
        <f t="shared" si="1"/>
        <v/>
      </c>
      <c r="J79" s="57">
        <f t="shared" si="2"/>
        <v>0</v>
      </c>
      <c r="K79" s="58">
        <f t="shared" si="3"/>
        <v>0</v>
      </c>
      <c r="L79" s="33"/>
      <c r="M79" s="58">
        <f t="shared" si="4"/>
        <v>0</v>
      </c>
      <c r="N79" s="58" t="str">
        <f t="shared" si="5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 t="array" ref="D80">_xlfn.XLOOKUP(C80,Referensi!$C$5:$C$11,Referensi!$E$5:$E$11,,-1)</f>
        <v/>
      </c>
      <c r="E80" s="56" t="str">
        <f t="array" ref="E80">_xlfn.XLOOKUP(C80,Referensi!$D$5:$D$11,Referensi!$F$5:$F$11,,-1)</f>
        <v/>
      </c>
      <c r="F80" s="33"/>
      <c r="G80" s="33"/>
      <c r="H80" s="38">
        <f t="shared" si="6"/>
        <v>0</v>
      </c>
      <c r="I80" s="38" t="str">
        <f t="shared" si="1"/>
        <v/>
      </c>
      <c r="J80" s="57">
        <f t="shared" si="2"/>
        <v>0</v>
      </c>
      <c r="K80" s="58">
        <f t="shared" si="3"/>
        <v>0</v>
      </c>
      <c r="L80" s="33"/>
      <c r="M80" s="58">
        <f t="shared" si="4"/>
        <v>0</v>
      </c>
      <c r="N80" s="58" t="str">
        <f t="shared" si="5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 t="array" ref="D81">_xlfn.XLOOKUP(C81,Referensi!$C$5:$C$11,Referensi!$E$5:$E$11,,-1)</f>
        <v/>
      </c>
      <c r="E81" s="56" t="str">
        <f t="array" ref="E81">_xlfn.XLOOKUP(C81,Referensi!$D$5:$D$11,Referensi!$F$5:$F$11,,-1)</f>
        <v/>
      </c>
      <c r="F81" s="33"/>
      <c r="G81" s="33"/>
      <c r="H81" s="38">
        <f t="shared" si="6"/>
        <v>0</v>
      </c>
      <c r="I81" s="38" t="str">
        <f t="shared" si="1"/>
        <v/>
      </c>
      <c r="J81" s="57">
        <f t="shared" si="2"/>
        <v>0</v>
      </c>
      <c r="K81" s="58">
        <f t="shared" si="3"/>
        <v>0</v>
      </c>
      <c r="L81" s="33"/>
      <c r="M81" s="58">
        <f t="shared" si="4"/>
        <v>0</v>
      </c>
      <c r="N81" s="58" t="str">
        <f t="shared" si="5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60">
        <v>70.0</v>
      </c>
      <c r="C82" s="33"/>
      <c r="D82" s="56" t="str">
        <f t="array" ref="D82">_xlfn.XLOOKUP(C82,Referensi!$C$5:$C$11,Referensi!$E$5:$E$11,,-1)</f>
        <v/>
      </c>
      <c r="E82" s="56" t="str">
        <f t="array" ref="E82">_xlfn.XLOOKUP(C82,Referensi!$D$5:$D$11,Referensi!$F$5:$F$11,,-1)</f>
        <v/>
      </c>
      <c r="F82" s="33"/>
      <c r="G82" s="33"/>
      <c r="H82" s="38">
        <f t="shared" si="6"/>
        <v>0</v>
      </c>
      <c r="I82" s="38" t="str">
        <f t="shared" si="1"/>
        <v/>
      </c>
      <c r="J82" s="57">
        <f t="shared" si="2"/>
        <v>0</v>
      </c>
      <c r="K82" s="58">
        <f t="shared" si="3"/>
        <v>0</v>
      </c>
      <c r="L82" s="33"/>
      <c r="M82" s="58">
        <f t="shared" si="4"/>
        <v>0</v>
      </c>
      <c r="N82" s="58" t="str">
        <f t="shared" si="5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 t="array" ref="D83">_xlfn.XLOOKUP(C83,Referensi!$C$5:$C$11,Referensi!$E$5:$E$11,,-1)</f>
        <v/>
      </c>
      <c r="E83" s="56" t="str">
        <f t="array" ref="E83">_xlfn.XLOOKUP(C83,Referensi!$D$5:$D$11,Referensi!$F$5:$F$11,,-1)</f>
        <v/>
      </c>
      <c r="F83" s="33"/>
      <c r="G83" s="33"/>
      <c r="H83" s="38">
        <f t="shared" si="6"/>
        <v>0</v>
      </c>
      <c r="I83" s="38" t="str">
        <f t="shared" si="1"/>
        <v/>
      </c>
      <c r="J83" s="57">
        <f t="shared" si="2"/>
        <v>0</v>
      </c>
      <c r="K83" s="58">
        <f t="shared" si="3"/>
        <v>0</v>
      </c>
      <c r="L83" s="33"/>
      <c r="M83" s="58">
        <f t="shared" si="4"/>
        <v>0</v>
      </c>
      <c r="N83" s="58" t="str">
        <f t="shared" si="5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 t="array" ref="D84">_xlfn.XLOOKUP(C84,Referensi!$C$5:$C$11,Referensi!$E$5:$E$11,,-1)</f>
        <v/>
      </c>
      <c r="E84" s="56" t="str">
        <f t="array" ref="E84">_xlfn.XLOOKUP(C84,Referensi!$D$5:$D$11,Referensi!$F$5:$F$11,,-1)</f>
        <v/>
      </c>
      <c r="F84" s="33"/>
      <c r="G84" s="33"/>
      <c r="H84" s="38">
        <f t="shared" si="6"/>
        <v>0</v>
      </c>
      <c r="I84" s="38" t="str">
        <f t="shared" si="1"/>
        <v/>
      </c>
      <c r="J84" s="57">
        <f t="shared" si="2"/>
        <v>0</v>
      </c>
      <c r="K84" s="58">
        <f t="shared" si="3"/>
        <v>0</v>
      </c>
      <c r="L84" s="33"/>
      <c r="M84" s="58">
        <f t="shared" si="4"/>
        <v>0</v>
      </c>
      <c r="N84" s="58" t="str">
        <f t="shared" si="5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 t="array" ref="D85">_xlfn.XLOOKUP(C85,Referensi!$C$5:$C$11,Referensi!$E$5:$E$11,,-1)</f>
        <v/>
      </c>
      <c r="E85" s="56" t="str">
        <f t="array" ref="E85">_xlfn.XLOOKUP(C85,Referensi!$D$5:$D$11,Referensi!$F$5:$F$11,,-1)</f>
        <v/>
      </c>
      <c r="F85" s="33"/>
      <c r="G85" s="33"/>
      <c r="H85" s="38">
        <f t="shared" si="6"/>
        <v>0</v>
      </c>
      <c r="I85" s="38" t="str">
        <f t="shared" si="1"/>
        <v/>
      </c>
      <c r="J85" s="57">
        <f t="shared" si="2"/>
        <v>0</v>
      </c>
      <c r="K85" s="58">
        <f t="shared" si="3"/>
        <v>0</v>
      </c>
      <c r="L85" s="33"/>
      <c r="M85" s="58">
        <f t="shared" si="4"/>
        <v>0</v>
      </c>
      <c r="N85" s="58" t="str">
        <f t="shared" si="5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 t="array" ref="D86">_xlfn.XLOOKUP(C86,Referensi!$C$5:$C$11,Referensi!$E$5:$E$11,,-1)</f>
        <v/>
      </c>
      <c r="E86" s="56" t="str">
        <f t="array" ref="E86">_xlfn.XLOOKUP(C86,Referensi!$D$5:$D$11,Referensi!$F$5:$F$11,,-1)</f>
        <v/>
      </c>
      <c r="F86" s="33"/>
      <c r="G86" s="33"/>
      <c r="H86" s="38">
        <f t="shared" si="6"/>
        <v>0</v>
      </c>
      <c r="I86" s="38" t="str">
        <f t="shared" si="1"/>
        <v/>
      </c>
      <c r="J86" s="57">
        <f t="shared" si="2"/>
        <v>0</v>
      </c>
      <c r="K86" s="58">
        <f t="shared" si="3"/>
        <v>0</v>
      </c>
      <c r="L86" s="33"/>
      <c r="M86" s="58">
        <f t="shared" si="4"/>
        <v>0</v>
      </c>
      <c r="N86" s="58" t="str">
        <f t="shared" si="5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 t="array" ref="D87">_xlfn.XLOOKUP(C87,Referensi!$C$5:$C$11,Referensi!$E$5:$E$11,,-1)</f>
        <v/>
      </c>
      <c r="E87" s="56" t="str">
        <f t="array" ref="E87">_xlfn.XLOOKUP(C87,Referensi!$D$5:$D$11,Referensi!$F$5:$F$11,,-1)</f>
        <v/>
      </c>
      <c r="F87" s="33"/>
      <c r="G87" s="33"/>
      <c r="H87" s="38">
        <f t="shared" si="6"/>
        <v>0</v>
      </c>
      <c r="I87" s="38" t="str">
        <f t="shared" si="1"/>
        <v/>
      </c>
      <c r="J87" s="57">
        <f t="shared" si="2"/>
        <v>0</v>
      </c>
      <c r="K87" s="58">
        <f t="shared" si="3"/>
        <v>0</v>
      </c>
      <c r="L87" s="33"/>
      <c r="M87" s="58">
        <f t="shared" si="4"/>
        <v>0</v>
      </c>
      <c r="N87" s="58" t="str">
        <f t="shared" si="5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 t="array" ref="D88">_xlfn.XLOOKUP(C88,Referensi!$C$5:$C$11,Referensi!$E$5:$E$11,,-1)</f>
        <v/>
      </c>
      <c r="E88" s="56" t="str">
        <f t="array" ref="E88">_xlfn.XLOOKUP(C88,Referensi!$D$5:$D$11,Referensi!$F$5:$F$11,,-1)</f>
        <v/>
      </c>
      <c r="F88" s="33"/>
      <c r="G88" s="33"/>
      <c r="H88" s="38">
        <f t="shared" si="6"/>
        <v>0</v>
      </c>
      <c r="I88" s="38" t="str">
        <f t="shared" si="1"/>
        <v/>
      </c>
      <c r="J88" s="57">
        <f t="shared" si="2"/>
        <v>0</v>
      </c>
      <c r="K88" s="58">
        <f t="shared" si="3"/>
        <v>0</v>
      </c>
      <c r="L88" s="33"/>
      <c r="M88" s="58">
        <f t="shared" si="4"/>
        <v>0</v>
      </c>
      <c r="N88" s="58" t="str">
        <f t="shared" si="5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60">
        <v>77.0</v>
      </c>
      <c r="C89" s="33"/>
      <c r="D89" s="56" t="str">
        <f t="array" ref="D89">_xlfn.XLOOKUP(C89,Referensi!$C$5:$C$11,Referensi!$E$5:$E$11,,-1)</f>
        <v/>
      </c>
      <c r="E89" s="56" t="str">
        <f t="array" ref="E89">_xlfn.XLOOKUP(C89,Referensi!$D$5:$D$11,Referensi!$F$5:$F$11,,-1)</f>
        <v/>
      </c>
      <c r="F89" s="33"/>
      <c r="G89" s="33"/>
      <c r="H89" s="38">
        <f t="shared" si="6"/>
        <v>0</v>
      </c>
      <c r="I89" s="38" t="str">
        <f t="shared" si="1"/>
        <v/>
      </c>
      <c r="J89" s="57">
        <f t="shared" si="2"/>
        <v>0</v>
      </c>
      <c r="K89" s="58">
        <f t="shared" si="3"/>
        <v>0</v>
      </c>
      <c r="L89" s="33"/>
      <c r="M89" s="58">
        <f t="shared" si="4"/>
        <v>0</v>
      </c>
      <c r="N89" s="58" t="str">
        <f t="shared" si="5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 t="array" ref="D90">_xlfn.XLOOKUP(C90,Referensi!$C$5:$C$11,Referensi!$E$5:$E$11,,-1)</f>
        <v/>
      </c>
      <c r="E90" s="56" t="str">
        <f t="array" ref="E90">_xlfn.XLOOKUP(C90,Referensi!$D$5:$D$11,Referensi!$F$5:$F$11,,-1)</f>
        <v/>
      </c>
      <c r="F90" s="33"/>
      <c r="G90" s="33"/>
      <c r="H90" s="38">
        <f t="shared" si="6"/>
        <v>0</v>
      </c>
      <c r="I90" s="38" t="str">
        <f t="shared" si="1"/>
        <v/>
      </c>
      <c r="J90" s="57">
        <f t="shared" si="2"/>
        <v>0</v>
      </c>
      <c r="K90" s="58">
        <f t="shared" si="3"/>
        <v>0</v>
      </c>
      <c r="L90" s="33"/>
      <c r="M90" s="58">
        <f t="shared" si="4"/>
        <v>0</v>
      </c>
      <c r="N90" s="58" t="str">
        <f t="shared" si="5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 t="array" ref="D91">_xlfn.XLOOKUP(C91,Referensi!$C$5:$C$11,Referensi!$E$5:$E$11,,-1)</f>
        <v/>
      </c>
      <c r="E91" s="56" t="str">
        <f t="array" ref="E91">_xlfn.XLOOKUP(C91,Referensi!$D$5:$D$11,Referensi!$F$5:$F$11,,-1)</f>
        <v/>
      </c>
      <c r="F91" s="33"/>
      <c r="G91" s="33"/>
      <c r="H91" s="38">
        <f t="shared" si="6"/>
        <v>0</v>
      </c>
      <c r="I91" s="38" t="str">
        <f t="shared" si="1"/>
        <v/>
      </c>
      <c r="J91" s="57">
        <f t="shared" si="2"/>
        <v>0</v>
      </c>
      <c r="K91" s="58">
        <f t="shared" si="3"/>
        <v>0</v>
      </c>
      <c r="L91" s="33"/>
      <c r="M91" s="58">
        <f t="shared" si="4"/>
        <v>0</v>
      </c>
      <c r="N91" s="58" t="str">
        <f t="shared" si="5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 t="array" ref="D92">_xlfn.XLOOKUP(C92,Referensi!$C$5:$C$11,Referensi!$E$5:$E$11,,-1)</f>
        <v/>
      </c>
      <c r="E92" s="56" t="str">
        <f t="array" ref="E92">_xlfn.XLOOKUP(C92,Referensi!$D$5:$D$11,Referensi!$F$5:$F$11,,-1)</f>
        <v/>
      </c>
      <c r="F92" s="33"/>
      <c r="G92" s="33"/>
      <c r="H92" s="38">
        <f t="shared" si="6"/>
        <v>0</v>
      </c>
      <c r="I92" s="38" t="str">
        <f t="shared" si="1"/>
        <v/>
      </c>
      <c r="J92" s="57">
        <f t="shared" si="2"/>
        <v>0</v>
      </c>
      <c r="K92" s="58">
        <f t="shared" si="3"/>
        <v>0</v>
      </c>
      <c r="L92" s="33"/>
      <c r="M92" s="58">
        <f t="shared" si="4"/>
        <v>0</v>
      </c>
      <c r="N92" s="58" t="str">
        <f t="shared" si="5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 t="array" ref="D93">_xlfn.XLOOKUP(C93,Referensi!$C$5:$C$11,Referensi!$E$5:$E$11,,-1)</f>
        <v/>
      </c>
      <c r="E93" s="56" t="str">
        <f t="array" ref="E93">_xlfn.XLOOKUP(C93,Referensi!$D$5:$D$11,Referensi!$F$5:$F$11,,-1)</f>
        <v/>
      </c>
      <c r="F93" s="33"/>
      <c r="G93" s="33"/>
      <c r="H93" s="38">
        <f t="shared" si="6"/>
        <v>0</v>
      </c>
      <c r="I93" s="38" t="str">
        <f t="shared" si="1"/>
        <v/>
      </c>
      <c r="J93" s="57">
        <f t="shared" si="2"/>
        <v>0</v>
      </c>
      <c r="K93" s="58">
        <f t="shared" si="3"/>
        <v>0</v>
      </c>
      <c r="L93" s="33"/>
      <c r="M93" s="58">
        <f t="shared" si="4"/>
        <v>0</v>
      </c>
      <c r="N93" s="58" t="str">
        <f t="shared" si="5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 t="array" ref="D94">_xlfn.XLOOKUP(C94,Referensi!$C$5:$C$11,Referensi!$E$5:$E$11,,-1)</f>
        <v/>
      </c>
      <c r="E94" s="56" t="str">
        <f t="array" ref="E94">_xlfn.XLOOKUP(C94,Referensi!$D$5:$D$11,Referensi!$F$5:$F$11,,-1)</f>
        <v/>
      </c>
      <c r="F94" s="33"/>
      <c r="G94" s="33"/>
      <c r="H94" s="38">
        <f t="shared" si="6"/>
        <v>0</v>
      </c>
      <c r="I94" s="38" t="str">
        <f t="shared" si="1"/>
        <v/>
      </c>
      <c r="J94" s="57">
        <f t="shared" si="2"/>
        <v>0</v>
      </c>
      <c r="K94" s="58">
        <f t="shared" si="3"/>
        <v>0</v>
      </c>
      <c r="L94" s="33"/>
      <c r="M94" s="58">
        <f t="shared" si="4"/>
        <v>0</v>
      </c>
      <c r="N94" s="58" t="str">
        <f t="shared" si="5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 t="array" ref="D95">_xlfn.XLOOKUP(C95,Referensi!$C$5:$C$11,Referensi!$E$5:$E$11,,-1)</f>
        <v/>
      </c>
      <c r="E95" s="56" t="str">
        <f t="array" ref="E95">_xlfn.XLOOKUP(C95,Referensi!$D$5:$D$11,Referensi!$F$5:$F$11,,-1)</f>
        <v/>
      </c>
      <c r="F95" s="33"/>
      <c r="G95" s="33"/>
      <c r="H95" s="38">
        <f t="shared" si="6"/>
        <v>0</v>
      </c>
      <c r="I95" s="38" t="str">
        <f t="shared" si="1"/>
        <v/>
      </c>
      <c r="J95" s="57">
        <f t="shared" si="2"/>
        <v>0</v>
      </c>
      <c r="K95" s="58">
        <f t="shared" si="3"/>
        <v>0</v>
      </c>
      <c r="L95" s="33"/>
      <c r="M95" s="58">
        <f t="shared" si="4"/>
        <v>0</v>
      </c>
      <c r="N95" s="58" t="str">
        <f t="shared" si="5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60">
        <v>84.0</v>
      </c>
      <c r="C96" s="33"/>
      <c r="D96" s="56" t="str">
        <f t="array" ref="D96">_xlfn.XLOOKUP(C96,Referensi!$C$5:$C$11,Referensi!$E$5:$E$11,,-1)</f>
        <v/>
      </c>
      <c r="E96" s="56" t="str">
        <f t="array" ref="E96">_xlfn.XLOOKUP(C96,Referensi!$D$5:$D$11,Referensi!$F$5:$F$11,,-1)</f>
        <v/>
      </c>
      <c r="F96" s="33"/>
      <c r="G96" s="33"/>
      <c r="H96" s="38">
        <f t="shared" si="6"/>
        <v>0</v>
      </c>
      <c r="I96" s="38" t="str">
        <f t="shared" si="1"/>
        <v/>
      </c>
      <c r="J96" s="57">
        <f t="shared" si="2"/>
        <v>0</v>
      </c>
      <c r="K96" s="58">
        <f t="shared" si="3"/>
        <v>0</v>
      </c>
      <c r="L96" s="33"/>
      <c r="M96" s="58">
        <f t="shared" si="4"/>
        <v>0</v>
      </c>
      <c r="N96" s="58" t="str">
        <f t="shared" si="5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 t="array" ref="D97">_xlfn.XLOOKUP(C97,Referensi!$C$5:$C$11,Referensi!$E$5:$E$11,,-1)</f>
        <v/>
      </c>
      <c r="E97" s="56" t="str">
        <f t="array" ref="E97">_xlfn.XLOOKUP(C97,Referensi!$D$5:$D$11,Referensi!$F$5:$F$11,,-1)</f>
        <v/>
      </c>
      <c r="F97" s="33"/>
      <c r="G97" s="33"/>
      <c r="H97" s="38">
        <f t="shared" si="6"/>
        <v>0</v>
      </c>
      <c r="I97" s="38" t="str">
        <f t="shared" si="1"/>
        <v/>
      </c>
      <c r="J97" s="57">
        <f t="shared" si="2"/>
        <v>0</v>
      </c>
      <c r="K97" s="58">
        <f t="shared" si="3"/>
        <v>0</v>
      </c>
      <c r="L97" s="33"/>
      <c r="M97" s="58">
        <f t="shared" si="4"/>
        <v>0</v>
      </c>
      <c r="N97" s="58" t="str">
        <f t="shared" si="5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 t="array" ref="D98">_xlfn.XLOOKUP(C98,Referensi!$C$5:$C$11,Referensi!$E$5:$E$11,,-1)</f>
        <v/>
      </c>
      <c r="E98" s="56" t="str">
        <f t="array" ref="E98">_xlfn.XLOOKUP(C98,Referensi!$D$5:$D$11,Referensi!$F$5:$F$11,,-1)</f>
        <v/>
      </c>
      <c r="F98" s="33"/>
      <c r="G98" s="33"/>
      <c r="H98" s="38">
        <f t="shared" si="6"/>
        <v>0</v>
      </c>
      <c r="I98" s="38" t="str">
        <f t="shared" si="1"/>
        <v/>
      </c>
      <c r="J98" s="57">
        <f t="shared" si="2"/>
        <v>0</v>
      </c>
      <c r="K98" s="58">
        <f t="shared" si="3"/>
        <v>0</v>
      </c>
      <c r="L98" s="33"/>
      <c r="M98" s="58">
        <f t="shared" si="4"/>
        <v>0</v>
      </c>
      <c r="N98" s="58" t="str">
        <f t="shared" si="5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 t="array" ref="D99">_xlfn.XLOOKUP(C99,Referensi!$C$5:$C$11,Referensi!$E$5:$E$11,,-1)</f>
        <v/>
      </c>
      <c r="E99" s="56" t="str">
        <f t="array" ref="E99">_xlfn.XLOOKUP(C99,Referensi!$D$5:$D$11,Referensi!$F$5:$F$11,,-1)</f>
        <v/>
      </c>
      <c r="F99" s="33"/>
      <c r="G99" s="33"/>
      <c r="H99" s="38">
        <f t="shared" si="6"/>
        <v>0</v>
      </c>
      <c r="I99" s="38" t="str">
        <f t="shared" si="1"/>
        <v/>
      </c>
      <c r="J99" s="57">
        <f t="shared" si="2"/>
        <v>0</v>
      </c>
      <c r="K99" s="58">
        <f t="shared" si="3"/>
        <v>0</v>
      </c>
      <c r="L99" s="33"/>
      <c r="M99" s="58">
        <f t="shared" si="4"/>
        <v>0</v>
      </c>
      <c r="N99" s="58" t="str">
        <f t="shared" si="5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 t="array" ref="D100">_xlfn.XLOOKUP(C100,Referensi!$C$5:$C$11,Referensi!$E$5:$E$11,,-1)</f>
        <v/>
      </c>
      <c r="E100" s="56" t="str">
        <f t="array" ref="E100">_xlfn.XLOOKUP(C100,Referensi!$D$5:$D$11,Referensi!$F$5:$F$11,,-1)</f>
        <v/>
      </c>
      <c r="F100" s="33"/>
      <c r="G100" s="33"/>
      <c r="H100" s="38">
        <f t="shared" si="6"/>
        <v>0</v>
      </c>
      <c r="I100" s="38" t="str">
        <f t="shared" si="1"/>
        <v/>
      </c>
      <c r="J100" s="57">
        <f t="shared" si="2"/>
        <v>0</v>
      </c>
      <c r="K100" s="58">
        <f t="shared" si="3"/>
        <v>0</v>
      </c>
      <c r="L100" s="33"/>
      <c r="M100" s="58">
        <f t="shared" si="4"/>
        <v>0</v>
      </c>
      <c r="N100" s="58" t="str">
        <f t="shared" si="5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 t="array" ref="D101">_xlfn.XLOOKUP(C101,Referensi!$C$5:$C$11,Referensi!$E$5:$E$11,,-1)</f>
        <v/>
      </c>
      <c r="E101" s="56" t="str">
        <f t="array" ref="E101">_xlfn.XLOOKUP(C101,Referensi!$D$5:$D$11,Referensi!$F$5:$F$11,,-1)</f>
        <v/>
      </c>
      <c r="F101" s="33"/>
      <c r="G101" s="33"/>
      <c r="H101" s="38">
        <f t="shared" si="6"/>
        <v>0</v>
      </c>
      <c r="I101" s="38" t="str">
        <f t="shared" si="1"/>
        <v/>
      </c>
      <c r="J101" s="57">
        <f t="shared" si="2"/>
        <v>0</v>
      </c>
      <c r="K101" s="58">
        <f t="shared" si="3"/>
        <v>0</v>
      </c>
      <c r="L101" s="33"/>
      <c r="M101" s="58">
        <f t="shared" si="4"/>
        <v>0</v>
      </c>
      <c r="N101" s="58" t="str">
        <f t="shared" si="5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 t="array" ref="D102">_xlfn.XLOOKUP(C102,Referensi!$C$5:$C$11,Referensi!$E$5:$E$11,,-1)</f>
        <v/>
      </c>
      <c r="E102" s="56" t="str">
        <f t="array" ref="E102">_xlfn.XLOOKUP(C102,Referensi!$D$5:$D$11,Referensi!$F$5:$F$11,,-1)</f>
        <v/>
      </c>
      <c r="F102" s="33"/>
      <c r="G102" s="33"/>
      <c r="H102" s="38">
        <f t="shared" si="6"/>
        <v>0</v>
      </c>
      <c r="I102" s="38" t="str">
        <f t="shared" si="1"/>
        <v/>
      </c>
      <c r="J102" s="57">
        <f t="shared" si="2"/>
        <v>0</v>
      </c>
      <c r="K102" s="58">
        <f t="shared" si="3"/>
        <v>0</v>
      </c>
      <c r="L102" s="33"/>
      <c r="M102" s="58">
        <f t="shared" si="4"/>
        <v>0</v>
      </c>
      <c r="N102" s="58" t="str">
        <f t="shared" si="5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60">
        <v>91.0</v>
      </c>
      <c r="C103" s="33"/>
      <c r="D103" s="56" t="str">
        <f t="array" ref="D103">_xlfn.XLOOKUP(C103,Referensi!$C$5:$C$11,Referensi!$E$5:$E$11,,-1)</f>
        <v/>
      </c>
      <c r="E103" s="56" t="str">
        <f t="array" ref="E103">_xlfn.XLOOKUP(C103,Referensi!$D$5:$D$11,Referensi!$F$5:$F$11,,-1)</f>
        <v/>
      </c>
      <c r="F103" s="33"/>
      <c r="G103" s="33"/>
      <c r="H103" s="38">
        <f t="shared" si="6"/>
        <v>0</v>
      </c>
      <c r="I103" s="38" t="str">
        <f t="shared" si="1"/>
        <v/>
      </c>
      <c r="J103" s="57">
        <f t="shared" si="2"/>
        <v>0</v>
      </c>
      <c r="K103" s="58">
        <f t="shared" si="3"/>
        <v>0</v>
      </c>
      <c r="L103" s="33"/>
      <c r="M103" s="58">
        <f t="shared" si="4"/>
        <v>0</v>
      </c>
      <c r="N103" s="58" t="str">
        <f t="shared" si="5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 t="array" ref="D104">_xlfn.XLOOKUP(C104,Referensi!$C$5:$C$11,Referensi!$E$5:$E$11,,-1)</f>
        <v/>
      </c>
      <c r="E104" s="56" t="str">
        <f t="array" ref="E104">_xlfn.XLOOKUP(C104,Referensi!$D$5:$D$11,Referensi!$F$5:$F$11,,-1)</f>
        <v/>
      </c>
      <c r="F104" s="33"/>
      <c r="G104" s="33"/>
      <c r="H104" s="38">
        <f t="shared" si="6"/>
        <v>0</v>
      </c>
      <c r="I104" s="38" t="str">
        <f t="shared" si="1"/>
        <v/>
      </c>
      <c r="J104" s="57">
        <f t="shared" si="2"/>
        <v>0</v>
      </c>
      <c r="K104" s="58">
        <f t="shared" si="3"/>
        <v>0</v>
      </c>
      <c r="L104" s="33"/>
      <c r="M104" s="58">
        <f t="shared" si="4"/>
        <v>0</v>
      </c>
      <c r="N104" s="58" t="str">
        <f t="shared" si="5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 t="array" ref="D105">_xlfn.XLOOKUP(C105,Referensi!$C$5:$C$11,Referensi!$E$5:$E$11,,-1)</f>
        <v/>
      </c>
      <c r="E105" s="56" t="str">
        <f t="array" ref="E105">_xlfn.XLOOKUP(C105,Referensi!$D$5:$D$11,Referensi!$F$5:$F$11,,-1)</f>
        <v/>
      </c>
      <c r="F105" s="33"/>
      <c r="G105" s="33"/>
      <c r="H105" s="38">
        <f t="shared" si="6"/>
        <v>0</v>
      </c>
      <c r="I105" s="38" t="str">
        <f t="shared" si="1"/>
        <v/>
      </c>
      <c r="J105" s="57">
        <f t="shared" si="2"/>
        <v>0</v>
      </c>
      <c r="K105" s="58">
        <f t="shared" si="3"/>
        <v>0</v>
      </c>
      <c r="L105" s="33"/>
      <c r="M105" s="58">
        <f t="shared" si="4"/>
        <v>0</v>
      </c>
      <c r="N105" s="58" t="str">
        <f t="shared" si="5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 t="array" ref="D106">_xlfn.XLOOKUP(C106,Referensi!$C$5:$C$11,Referensi!$E$5:$E$11,,-1)</f>
        <v/>
      </c>
      <c r="E106" s="56" t="str">
        <f t="array" ref="E106">_xlfn.XLOOKUP(C106,Referensi!$D$5:$D$11,Referensi!$F$5:$F$11,,-1)</f>
        <v/>
      </c>
      <c r="F106" s="33"/>
      <c r="G106" s="33"/>
      <c r="H106" s="38">
        <f t="shared" si="6"/>
        <v>0</v>
      </c>
      <c r="I106" s="38" t="str">
        <f t="shared" si="1"/>
        <v/>
      </c>
      <c r="J106" s="57">
        <f t="shared" si="2"/>
        <v>0</v>
      </c>
      <c r="K106" s="58">
        <f t="shared" si="3"/>
        <v>0</v>
      </c>
      <c r="L106" s="33"/>
      <c r="M106" s="58">
        <f t="shared" si="4"/>
        <v>0</v>
      </c>
      <c r="N106" s="58" t="str">
        <f t="shared" si="5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 t="array" ref="D107">_xlfn.XLOOKUP(C107,Referensi!$C$5:$C$11,Referensi!$E$5:$E$11,,-1)</f>
        <v/>
      </c>
      <c r="E107" s="56" t="str">
        <f t="array" ref="E107">_xlfn.XLOOKUP(C107,Referensi!$D$5:$D$11,Referensi!$F$5:$F$11,,-1)</f>
        <v/>
      </c>
      <c r="F107" s="33"/>
      <c r="G107" s="33"/>
      <c r="H107" s="38">
        <f t="shared" si="6"/>
        <v>0</v>
      </c>
      <c r="I107" s="38" t="str">
        <f t="shared" si="1"/>
        <v/>
      </c>
      <c r="J107" s="57">
        <f t="shared" si="2"/>
        <v>0</v>
      </c>
      <c r="K107" s="58">
        <f t="shared" si="3"/>
        <v>0</v>
      </c>
      <c r="L107" s="33"/>
      <c r="M107" s="58">
        <f t="shared" si="4"/>
        <v>0</v>
      </c>
      <c r="N107" s="58" t="str">
        <f t="shared" si="5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 t="array" ref="D108">_xlfn.XLOOKUP(C108,Referensi!$C$5:$C$11,Referensi!$E$5:$E$11,,-1)</f>
        <v/>
      </c>
      <c r="E108" s="56" t="str">
        <f t="array" ref="E108">_xlfn.XLOOKUP(C108,Referensi!$D$5:$D$11,Referensi!$F$5:$F$11,,-1)</f>
        <v/>
      </c>
      <c r="F108" s="33"/>
      <c r="G108" s="33"/>
      <c r="H108" s="38">
        <f t="shared" si="6"/>
        <v>0</v>
      </c>
      <c r="I108" s="38" t="str">
        <f t="shared" si="1"/>
        <v/>
      </c>
      <c r="J108" s="57">
        <f t="shared" si="2"/>
        <v>0</v>
      </c>
      <c r="K108" s="58">
        <f t="shared" si="3"/>
        <v>0</v>
      </c>
      <c r="L108" s="33"/>
      <c r="M108" s="58">
        <f t="shared" si="4"/>
        <v>0</v>
      </c>
      <c r="N108" s="58" t="str">
        <f t="shared" si="5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 t="array" ref="D109">_xlfn.XLOOKUP(C109,Referensi!$C$5:$C$11,Referensi!$E$5:$E$11,,-1)</f>
        <v/>
      </c>
      <c r="E109" s="56" t="str">
        <f t="array" ref="E109">_xlfn.XLOOKUP(C109,Referensi!$D$5:$D$11,Referensi!$F$5:$F$11,,-1)</f>
        <v/>
      </c>
      <c r="F109" s="33"/>
      <c r="G109" s="33"/>
      <c r="H109" s="38">
        <f t="shared" si="6"/>
        <v>0</v>
      </c>
      <c r="I109" s="38" t="str">
        <f t="shared" si="1"/>
        <v/>
      </c>
      <c r="J109" s="57">
        <f t="shared" si="2"/>
        <v>0</v>
      </c>
      <c r="K109" s="58">
        <f t="shared" si="3"/>
        <v>0</v>
      </c>
      <c r="L109" s="33"/>
      <c r="M109" s="58">
        <f t="shared" si="4"/>
        <v>0</v>
      </c>
      <c r="N109" s="58" t="str">
        <f t="shared" si="5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60">
        <v>98.0</v>
      </c>
      <c r="C110" s="33"/>
      <c r="D110" s="56" t="str">
        <f t="array" ref="D110">_xlfn.XLOOKUP(C110,Referensi!$C$5:$C$11,Referensi!$E$5:$E$11,,-1)</f>
        <v/>
      </c>
      <c r="E110" s="56" t="str">
        <f t="array" ref="E110">_xlfn.XLOOKUP(C110,Referensi!$D$5:$D$11,Referensi!$F$5:$F$11,,-1)</f>
        <v/>
      </c>
      <c r="F110" s="33"/>
      <c r="G110" s="33"/>
      <c r="H110" s="38">
        <f t="shared" si="6"/>
        <v>0</v>
      </c>
      <c r="I110" s="38" t="str">
        <f t="shared" si="1"/>
        <v/>
      </c>
      <c r="J110" s="57">
        <f t="shared" si="2"/>
        <v>0</v>
      </c>
      <c r="K110" s="58">
        <f t="shared" si="3"/>
        <v>0</v>
      </c>
      <c r="L110" s="33"/>
      <c r="M110" s="58">
        <f t="shared" si="4"/>
        <v>0</v>
      </c>
      <c r="N110" s="58" t="str">
        <f t="shared" si="5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 t="array" ref="D111">_xlfn.XLOOKUP(C111,Referensi!$C$5:$C$11,Referensi!$E$5:$E$11,,-1)</f>
        <v/>
      </c>
      <c r="E111" s="56" t="str">
        <f t="array" ref="E111">_xlfn.XLOOKUP(C111,Referensi!$D$5:$D$11,Referensi!$F$5:$F$11,,-1)</f>
        <v/>
      </c>
      <c r="F111" s="33"/>
      <c r="G111" s="33"/>
      <c r="H111" s="38">
        <f t="shared" si="6"/>
        <v>0</v>
      </c>
      <c r="I111" s="38" t="str">
        <f t="shared" si="1"/>
        <v/>
      </c>
      <c r="J111" s="57">
        <f t="shared" si="2"/>
        <v>0</v>
      </c>
      <c r="K111" s="58">
        <f t="shared" si="3"/>
        <v>0</v>
      </c>
      <c r="L111" s="33"/>
      <c r="M111" s="58">
        <f t="shared" si="4"/>
        <v>0</v>
      </c>
      <c r="N111" s="58" t="str">
        <f t="shared" si="5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 t="array" ref="D112">_xlfn.XLOOKUP(C112,Referensi!$C$5:$C$11,Referensi!$E$5:$E$11,,-1)</f>
        <v/>
      </c>
      <c r="E112" s="56" t="str">
        <f t="array" ref="E112">_xlfn.XLOOKUP(C112,Referensi!$D$5:$D$11,Referensi!$F$5:$F$11,,-1)</f>
        <v/>
      </c>
      <c r="F112" s="33"/>
      <c r="G112" s="33"/>
      <c r="H112" s="38">
        <f t="shared" si="6"/>
        <v>0</v>
      </c>
      <c r="I112" s="38" t="str">
        <f t="shared" si="1"/>
        <v/>
      </c>
      <c r="J112" s="57">
        <f t="shared" si="2"/>
        <v>0</v>
      </c>
      <c r="K112" s="58">
        <f t="shared" si="3"/>
        <v>0</v>
      </c>
      <c r="L112" s="33"/>
      <c r="M112" s="58">
        <f t="shared" si="4"/>
        <v>0</v>
      </c>
      <c r="N112" s="58" t="str">
        <f t="shared" si="5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 t="array" ref="D113">_xlfn.XLOOKUP(C113,Referensi!$C$5:$C$11,Referensi!$E$5:$E$11,,-1)</f>
        <v/>
      </c>
      <c r="E113" s="56" t="str">
        <f t="array" ref="E113">_xlfn.XLOOKUP(C113,Referensi!$D$5:$D$11,Referensi!$F$5:$F$11,,-1)</f>
        <v/>
      </c>
      <c r="F113" s="33"/>
      <c r="G113" s="33"/>
      <c r="H113" s="38">
        <f t="shared" si="6"/>
        <v>0</v>
      </c>
      <c r="I113" s="38" t="str">
        <f t="shared" si="1"/>
        <v/>
      </c>
      <c r="J113" s="57">
        <f t="shared" si="2"/>
        <v>0</v>
      </c>
      <c r="K113" s="58">
        <f t="shared" si="3"/>
        <v>0</v>
      </c>
      <c r="L113" s="33"/>
      <c r="M113" s="58">
        <f t="shared" si="4"/>
        <v>0</v>
      </c>
      <c r="N113" s="58" t="str">
        <f t="shared" si="5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 t="array" ref="D114">_xlfn.XLOOKUP(C114,Referensi!$C$5:$C$11,Referensi!$E$5:$E$11,,-1)</f>
        <v/>
      </c>
      <c r="E114" s="56" t="str">
        <f t="array" ref="E114">_xlfn.XLOOKUP(C114,Referensi!$D$5:$D$11,Referensi!$F$5:$F$11,,-1)</f>
        <v/>
      </c>
      <c r="F114" s="33"/>
      <c r="G114" s="33"/>
      <c r="H114" s="38">
        <f t="shared" si="6"/>
        <v>0</v>
      </c>
      <c r="I114" s="38" t="str">
        <f t="shared" si="1"/>
        <v/>
      </c>
      <c r="J114" s="57">
        <f t="shared" si="2"/>
        <v>0</v>
      </c>
      <c r="K114" s="58">
        <f t="shared" si="3"/>
        <v>0</v>
      </c>
      <c r="L114" s="33"/>
      <c r="M114" s="58">
        <f t="shared" si="4"/>
        <v>0</v>
      </c>
      <c r="N114" s="58" t="str">
        <f t="shared" si="5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 t="array" ref="D115">_xlfn.XLOOKUP(C115,Referensi!$C$5:$C$11,Referensi!$E$5:$E$11,,-1)</f>
        <v/>
      </c>
      <c r="E115" s="56" t="str">
        <f t="array" ref="E115">_xlfn.XLOOKUP(C115,Referensi!$D$5:$D$11,Referensi!$F$5:$F$11,,-1)</f>
        <v/>
      </c>
      <c r="F115" s="33"/>
      <c r="G115" s="33"/>
      <c r="H115" s="38">
        <f t="shared" si="6"/>
        <v>0</v>
      </c>
      <c r="I115" s="38" t="str">
        <f t="shared" si="1"/>
        <v/>
      </c>
      <c r="J115" s="57">
        <f t="shared" si="2"/>
        <v>0</v>
      </c>
      <c r="K115" s="58">
        <f t="shared" si="3"/>
        <v>0</v>
      </c>
      <c r="L115" s="33"/>
      <c r="M115" s="58">
        <f t="shared" si="4"/>
        <v>0</v>
      </c>
      <c r="N115" s="58" t="str">
        <f t="shared" si="5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 t="array" ref="D116">_xlfn.XLOOKUP(C116,Referensi!$C$5:$C$11,Referensi!$E$5:$E$11,,-1)</f>
        <v/>
      </c>
      <c r="E116" s="56" t="str">
        <f t="array" ref="E116">_xlfn.XLOOKUP(C116,Referensi!$D$5:$D$11,Referensi!$F$5:$F$11,,-1)</f>
        <v/>
      </c>
      <c r="F116" s="33"/>
      <c r="G116" s="33"/>
      <c r="H116" s="38">
        <f t="shared" si="6"/>
        <v>0</v>
      </c>
      <c r="I116" s="38" t="str">
        <f t="shared" si="1"/>
        <v/>
      </c>
      <c r="J116" s="57">
        <f t="shared" si="2"/>
        <v>0</v>
      </c>
      <c r="K116" s="58">
        <f t="shared" si="3"/>
        <v>0</v>
      </c>
      <c r="L116" s="33"/>
      <c r="M116" s="58">
        <f t="shared" si="4"/>
        <v>0</v>
      </c>
      <c r="N116" s="58" t="str">
        <f t="shared" si="5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60">
        <v>105.0</v>
      </c>
      <c r="C117" s="33"/>
      <c r="D117" s="56" t="str">
        <f t="array" ref="D117">_xlfn.XLOOKUP(C117,Referensi!$C$5:$C$11,Referensi!$E$5:$E$11,,-1)</f>
        <v/>
      </c>
      <c r="E117" s="56" t="str">
        <f t="array" ref="E117">_xlfn.XLOOKUP(C117,Referensi!$D$5:$D$11,Referensi!$F$5:$F$11,,-1)</f>
        <v/>
      </c>
      <c r="F117" s="33"/>
      <c r="G117" s="33"/>
      <c r="H117" s="38">
        <f t="shared" si="6"/>
        <v>0</v>
      </c>
      <c r="I117" s="38" t="str">
        <f t="shared" si="1"/>
        <v/>
      </c>
      <c r="J117" s="57">
        <f t="shared" si="2"/>
        <v>0</v>
      </c>
      <c r="K117" s="58">
        <f t="shared" si="3"/>
        <v>0</v>
      </c>
      <c r="L117" s="33"/>
      <c r="M117" s="58">
        <f t="shared" si="4"/>
        <v>0</v>
      </c>
      <c r="N117" s="58" t="str">
        <f t="shared" si="5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 t="array" ref="D118">_xlfn.XLOOKUP(C118,Referensi!$C$5:$C$11,Referensi!$E$5:$E$11,,-1)</f>
        <v/>
      </c>
      <c r="E118" s="56" t="str">
        <f t="array" ref="E118">_xlfn.XLOOKUP(C118,Referensi!$D$5:$D$11,Referensi!$F$5:$F$11,,-1)</f>
        <v/>
      </c>
      <c r="F118" s="33"/>
      <c r="G118" s="33"/>
      <c r="H118" s="38">
        <f t="shared" si="6"/>
        <v>0</v>
      </c>
      <c r="I118" s="38" t="str">
        <f t="shared" si="1"/>
        <v/>
      </c>
      <c r="J118" s="57">
        <f t="shared" si="2"/>
        <v>0</v>
      </c>
      <c r="K118" s="58">
        <f t="shared" si="3"/>
        <v>0</v>
      </c>
      <c r="L118" s="33"/>
      <c r="M118" s="58">
        <f t="shared" si="4"/>
        <v>0</v>
      </c>
      <c r="N118" s="58" t="str">
        <f t="shared" si="5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 t="array" ref="D119">_xlfn.XLOOKUP(C119,Referensi!$C$5:$C$11,Referensi!$E$5:$E$11,,-1)</f>
        <v/>
      </c>
      <c r="E119" s="56" t="str">
        <f t="array" ref="E119">_xlfn.XLOOKUP(C119,Referensi!$D$5:$D$11,Referensi!$F$5:$F$11,,-1)</f>
        <v/>
      </c>
      <c r="F119" s="33"/>
      <c r="G119" s="33"/>
      <c r="H119" s="38">
        <f t="shared" si="6"/>
        <v>0</v>
      </c>
      <c r="I119" s="38" t="str">
        <f t="shared" si="1"/>
        <v/>
      </c>
      <c r="J119" s="57">
        <f t="shared" si="2"/>
        <v>0</v>
      </c>
      <c r="K119" s="58">
        <f t="shared" si="3"/>
        <v>0</v>
      </c>
      <c r="L119" s="33"/>
      <c r="M119" s="58">
        <f t="shared" si="4"/>
        <v>0</v>
      </c>
      <c r="N119" s="58" t="str">
        <f t="shared" si="5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 t="array" ref="D120">_xlfn.XLOOKUP(C120,Referensi!$C$5:$C$11,Referensi!$E$5:$E$11,,-1)</f>
        <v/>
      </c>
      <c r="E120" s="56" t="str">
        <f t="array" ref="E120">_xlfn.XLOOKUP(C120,Referensi!$D$5:$D$11,Referensi!$F$5:$F$11,,-1)</f>
        <v/>
      </c>
      <c r="F120" s="33"/>
      <c r="G120" s="33"/>
      <c r="H120" s="38">
        <f t="shared" si="6"/>
        <v>0</v>
      </c>
      <c r="I120" s="38" t="str">
        <f t="shared" si="1"/>
        <v/>
      </c>
      <c r="J120" s="57">
        <f t="shared" si="2"/>
        <v>0</v>
      </c>
      <c r="K120" s="58">
        <f t="shared" si="3"/>
        <v>0</v>
      </c>
      <c r="L120" s="33"/>
      <c r="M120" s="58">
        <f t="shared" si="4"/>
        <v>0</v>
      </c>
      <c r="N120" s="58" t="str">
        <f t="shared" si="5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 t="array" ref="D121">_xlfn.XLOOKUP(C121,Referensi!$C$5:$C$11,Referensi!$E$5:$E$11,,-1)</f>
        <v/>
      </c>
      <c r="E121" s="56" t="str">
        <f t="array" ref="E121">_xlfn.XLOOKUP(C121,Referensi!$D$5:$D$11,Referensi!$F$5:$F$11,,-1)</f>
        <v/>
      </c>
      <c r="F121" s="33"/>
      <c r="G121" s="33"/>
      <c r="H121" s="38">
        <f t="shared" si="6"/>
        <v>0</v>
      </c>
      <c r="I121" s="38" t="str">
        <f t="shared" si="1"/>
        <v/>
      </c>
      <c r="J121" s="57">
        <f t="shared" si="2"/>
        <v>0</v>
      </c>
      <c r="K121" s="58">
        <f t="shared" si="3"/>
        <v>0</v>
      </c>
      <c r="L121" s="33"/>
      <c r="M121" s="58">
        <f t="shared" si="4"/>
        <v>0</v>
      </c>
      <c r="N121" s="58" t="str">
        <f t="shared" si="5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 t="array" ref="D122">_xlfn.XLOOKUP(C122,Referensi!$C$5:$C$11,Referensi!$E$5:$E$11,,-1)</f>
        <v/>
      </c>
      <c r="E122" s="56" t="str">
        <f t="array" ref="E122">_xlfn.XLOOKUP(C122,Referensi!$D$5:$D$11,Referensi!$F$5:$F$11,,-1)</f>
        <v/>
      </c>
      <c r="F122" s="33"/>
      <c r="G122" s="33"/>
      <c r="H122" s="38">
        <f t="shared" si="6"/>
        <v>0</v>
      </c>
      <c r="I122" s="38" t="str">
        <f t="shared" si="1"/>
        <v/>
      </c>
      <c r="J122" s="57">
        <f t="shared" si="2"/>
        <v>0</v>
      </c>
      <c r="K122" s="58">
        <f t="shared" si="3"/>
        <v>0</v>
      </c>
      <c r="L122" s="33"/>
      <c r="M122" s="58">
        <f t="shared" si="4"/>
        <v>0</v>
      </c>
      <c r="N122" s="58" t="str">
        <f t="shared" si="5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 t="array" ref="D123">_xlfn.XLOOKUP(C123,Referensi!$C$5:$C$11,Referensi!$E$5:$E$11,,-1)</f>
        <v/>
      </c>
      <c r="E123" s="56" t="str">
        <f t="array" ref="E123">_xlfn.XLOOKUP(C123,Referensi!$D$5:$D$11,Referensi!$F$5:$F$11,,-1)</f>
        <v/>
      </c>
      <c r="F123" s="33"/>
      <c r="G123" s="33"/>
      <c r="H123" s="38">
        <f t="shared" si="6"/>
        <v>0</v>
      </c>
      <c r="I123" s="38" t="str">
        <f t="shared" si="1"/>
        <v/>
      </c>
      <c r="J123" s="57">
        <f t="shared" si="2"/>
        <v>0</v>
      </c>
      <c r="K123" s="58">
        <f t="shared" si="3"/>
        <v>0</v>
      </c>
      <c r="L123" s="33"/>
      <c r="M123" s="58">
        <f t="shared" si="4"/>
        <v>0</v>
      </c>
      <c r="N123" s="58" t="str">
        <f t="shared" si="5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60">
        <v>112.0</v>
      </c>
      <c r="C124" s="33"/>
      <c r="D124" s="56" t="str">
        <f t="array" ref="D124">_xlfn.XLOOKUP(C124,Referensi!$C$5:$C$11,Referensi!$E$5:$E$11,,-1)</f>
        <v/>
      </c>
      <c r="E124" s="56" t="str">
        <f t="array" ref="E124">_xlfn.XLOOKUP(C124,Referensi!$D$5:$D$11,Referensi!$F$5:$F$11,,-1)</f>
        <v/>
      </c>
      <c r="F124" s="33"/>
      <c r="G124" s="33"/>
      <c r="H124" s="38">
        <f t="shared" si="6"/>
        <v>0</v>
      </c>
      <c r="I124" s="38" t="str">
        <f t="shared" si="1"/>
        <v/>
      </c>
      <c r="J124" s="57">
        <f t="shared" si="2"/>
        <v>0</v>
      </c>
      <c r="K124" s="58">
        <f t="shared" si="3"/>
        <v>0</v>
      </c>
      <c r="L124" s="33"/>
      <c r="M124" s="58">
        <f t="shared" si="4"/>
        <v>0</v>
      </c>
      <c r="N124" s="58" t="str">
        <f t="shared" si="5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 t="array" ref="D125">_xlfn.XLOOKUP(C125,Referensi!$C$5:$C$11,Referensi!$E$5:$E$11,,-1)</f>
        <v/>
      </c>
      <c r="E125" s="56" t="str">
        <f t="array" ref="E125">_xlfn.XLOOKUP(C125,Referensi!$D$5:$D$11,Referensi!$F$5:$F$11,,-1)</f>
        <v/>
      </c>
      <c r="F125" s="33"/>
      <c r="G125" s="33"/>
      <c r="H125" s="38">
        <f t="shared" si="6"/>
        <v>0</v>
      </c>
      <c r="I125" s="38" t="str">
        <f t="shared" si="1"/>
        <v/>
      </c>
      <c r="J125" s="57">
        <f t="shared" si="2"/>
        <v>0</v>
      </c>
      <c r="K125" s="58">
        <f t="shared" si="3"/>
        <v>0</v>
      </c>
      <c r="L125" s="33"/>
      <c r="M125" s="58">
        <f t="shared" si="4"/>
        <v>0</v>
      </c>
      <c r="N125" s="58" t="str">
        <f t="shared" si="5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 t="array" ref="D126">_xlfn.XLOOKUP(C126,Referensi!$C$5:$C$11,Referensi!$E$5:$E$11,,-1)</f>
        <v/>
      </c>
      <c r="E126" s="56" t="str">
        <f t="array" ref="E126">_xlfn.XLOOKUP(C126,Referensi!$D$5:$D$11,Referensi!$F$5:$F$11,,-1)</f>
        <v/>
      </c>
      <c r="F126" s="33"/>
      <c r="G126" s="33"/>
      <c r="H126" s="38">
        <f t="shared" si="6"/>
        <v>0</v>
      </c>
      <c r="I126" s="38" t="str">
        <f t="shared" si="1"/>
        <v/>
      </c>
      <c r="J126" s="57">
        <f t="shared" si="2"/>
        <v>0</v>
      </c>
      <c r="K126" s="58">
        <f t="shared" si="3"/>
        <v>0</v>
      </c>
      <c r="L126" s="33"/>
      <c r="M126" s="58">
        <f t="shared" si="4"/>
        <v>0</v>
      </c>
      <c r="N126" s="58" t="str">
        <f t="shared" si="5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 t="array" ref="D127">_xlfn.XLOOKUP(C127,Referensi!$C$5:$C$11,Referensi!$E$5:$E$11,,-1)</f>
        <v/>
      </c>
      <c r="E127" s="56" t="str">
        <f t="array" ref="E127">_xlfn.XLOOKUP(C127,Referensi!$D$5:$D$11,Referensi!$F$5:$F$11,,-1)</f>
        <v/>
      </c>
      <c r="F127" s="33"/>
      <c r="G127" s="33"/>
      <c r="H127" s="38">
        <f t="shared" si="6"/>
        <v>0</v>
      </c>
      <c r="I127" s="38" t="str">
        <f t="shared" si="1"/>
        <v/>
      </c>
      <c r="J127" s="57">
        <f t="shared" si="2"/>
        <v>0</v>
      </c>
      <c r="K127" s="58">
        <f t="shared" si="3"/>
        <v>0</v>
      </c>
      <c r="L127" s="33"/>
      <c r="M127" s="58">
        <f t="shared" si="4"/>
        <v>0</v>
      </c>
      <c r="N127" s="58" t="str">
        <f t="shared" si="5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 t="array" ref="D128">_xlfn.XLOOKUP(C128,Referensi!$C$5:$C$11,Referensi!$E$5:$E$11,,-1)</f>
        <v/>
      </c>
      <c r="E128" s="56" t="str">
        <f t="array" ref="E128">_xlfn.XLOOKUP(C128,Referensi!$D$5:$D$11,Referensi!$F$5:$F$11,,-1)</f>
        <v/>
      </c>
      <c r="F128" s="33"/>
      <c r="G128" s="33"/>
      <c r="H128" s="38">
        <f t="shared" si="6"/>
        <v>0</v>
      </c>
      <c r="I128" s="38" t="str">
        <f t="shared" si="1"/>
        <v/>
      </c>
      <c r="J128" s="57">
        <f t="shared" si="2"/>
        <v>0</v>
      </c>
      <c r="K128" s="58">
        <f t="shared" si="3"/>
        <v>0</v>
      </c>
      <c r="L128" s="33"/>
      <c r="M128" s="58">
        <f t="shared" si="4"/>
        <v>0</v>
      </c>
      <c r="N128" s="58" t="str">
        <f t="shared" si="5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 t="array" ref="D129">_xlfn.XLOOKUP(C129,Referensi!$C$5:$C$11,Referensi!$E$5:$E$11,,-1)</f>
        <v/>
      </c>
      <c r="E129" s="56" t="str">
        <f t="array" ref="E129">_xlfn.XLOOKUP(C129,Referensi!$D$5:$D$11,Referensi!$F$5:$F$11,,-1)</f>
        <v/>
      </c>
      <c r="F129" s="33"/>
      <c r="G129" s="33"/>
      <c r="H129" s="38">
        <f t="shared" si="6"/>
        <v>0</v>
      </c>
      <c r="I129" s="38" t="str">
        <f t="shared" si="1"/>
        <v/>
      </c>
      <c r="J129" s="57">
        <f t="shared" si="2"/>
        <v>0</v>
      </c>
      <c r="K129" s="58">
        <f t="shared" si="3"/>
        <v>0</v>
      </c>
      <c r="L129" s="33"/>
      <c r="M129" s="58">
        <f t="shared" si="4"/>
        <v>0</v>
      </c>
      <c r="N129" s="58" t="str">
        <f t="shared" si="5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 t="array" ref="D130">_xlfn.XLOOKUP(C130,Referensi!$C$5:$C$11,Referensi!$E$5:$E$11,,-1)</f>
        <v/>
      </c>
      <c r="E130" s="56" t="str">
        <f t="array" ref="E130">_xlfn.XLOOKUP(C130,Referensi!$D$5:$D$11,Referensi!$F$5:$F$11,,-1)</f>
        <v/>
      </c>
      <c r="F130" s="33"/>
      <c r="G130" s="33"/>
      <c r="H130" s="38">
        <f t="shared" si="6"/>
        <v>0</v>
      </c>
      <c r="I130" s="38" t="str">
        <f t="shared" si="1"/>
        <v/>
      </c>
      <c r="J130" s="57">
        <f t="shared" si="2"/>
        <v>0</v>
      </c>
      <c r="K130" s="58">
        <f t="shared" si="3"/>
        <v>0</v>
      </c>
      <c r="L130" s="33"/>
      <c r="M130" s="58">
        <f t="shared" si="4"/>
        <v>0</v>
      </c>
      <c r="N130" s="58" t="str">
        <f t="shared" si="5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60">
        <v>119.0</v>
      </c>
      <c r="C131" s="33"/>
      <c r="D131" s="56" t="str">
        <f t="array" ref="D131">_xlfn.XLOOKUP(C131,Referensi!$C$5:$C$11,Referensi!$E$5:$E$11,,-1)</f>
        <v/>
      </c>
      <c r="E131" s="56" t="str">
        <f t="array" ref="E131">_xlfn.XLOOKUP(C131,Referensi!$D$5:$D$11,Referensi!$F$5:$F$11,,-1)</f>
        <v/>
      </c>
      <c r="F131" s="33"/>
      <c r="G131" s="33"/>
      <c r="H131" s="38">
        <f t="shared" si="6"/>
        <v>0</v>
      </c>
      <c r="I131" s="38" t="str">
        <f t="shared" si="1"/>
        <v/>
      </c>
      <c r="J131" s="57">
        <f t="shared" si="2"/>
        <v>0</v>
      </c>
      <c r="K131" s="58">
        <f t="shared" si="3"/>
        <v>0</v>
      </c>
      <c r="L131" s="33"/>
      <c r="M131" s="58">
        <f t="shared" si="4"/>
        <v>0</v>
      </c>
      <c r="N131" s="58" t="str">
        <f t="shared" si="5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 t="array" ref="D132">_xlfn.XLOOKUP(C132,Referensi!$C$5:$C$11,Referensi!$E$5:$E$11,,-1)</f>
        <v/>
      </c>
      <c r="E132" s="56" t="str">
        <f t="array" ref="E132">_xlfn.XLOOKUP(C132,Referensi!$D$5:$D$11,Referensi!$F$5:$F$11,,-1)</f>
        <v/>
      </c>
      <c r="F132" s="33"/>
      <c r="G132" s="33"/>
      <c r="H132" s="38">
        <f t="shared" si="6"/>
        <v>0</v>
      </c>
      <c r="I132" s="38" t="str">
        <f t="shared" si="1"/>
        <v/>
      </c>
      <c r="J132" s="57">
        <f t="shared" si="2"/>
        <v>0</v>
      </c>
      <c r="K132" s="58">
        <f t="shared" si="3"/>
        <v>0</v>
      </c>
      <c r="L132" s="33"/>
      <c r="M132" s="58">
        <f t="shared" si="4"/>
        <v>0</v>
      </c>
      <c r="N132" s="58" t="str">
        <f t="shared" si="5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 t="array" ref="D133">_xlfn.XLOOKUP(C133,Referensi!$C$5:$C$11,Referensi!$E$5:$E$11,,-1)</f>
        <v/>
      </c>
      <c r="E133" s="56" t="str">
        <f t="array" ref="E133">_xlfn.XLOOKUP(C133,Referensi!$D$5:$D$11,Referensi!$F$5:$F$11,,-1)</f>
        <v/>
      </c>
      <c r="F133" s="33"/>
      <c r="G133" s="33"/>
      <c r="H133" s="38">
        <f t="shared" si="6"/>
        <v>0</v>
      </c>
      <c r="I133" s="38" t="str">
        <f t="shared" si="1"/>
        <v/>
      </c>
      <c r="J133" s="57">
        <f t="shared" si="2"/>
        <v>0</v>
      </c>
      <c r="K133" s="58">
        <f t="shared" si="3"/>
        <v>0</v>
      </c>
      <c r="L133" s="33"/>
      <c r="M133" s="58">
        <f t="shared" si="4"/>
        <v>0</v>
      </c>
      <c r="N133" s="58" t="str">
        <f t="shared" si="5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 t="array" ref="D134">_xlfn.XLOOKUP(C134,Referensi!$C$5:$C$11,Referensi!$E$5:$E$11,,-1)</f>
        <v/>
      </c>
      <c r="E134" s="56" t="str">
        <f t="array" ref="E134">_xlfn.XLOOKUP(C134,Referensi!$D$5:$D$11,Referensi!$F$5:$F$11,,-1)</f>
        <v/>
      </c>
      <c r="F134" s="33"/>
      <c r="G134" s="33"/>
      <c r="H134" s="38">
        <f t="shared" si="6"/>
        <v>0</v>
      </c>
      <c r="I134" s="38" t="str">
        <f t="shared" si="1"/>
        <v/>
      </c>
      <c r="J134" s="57">
        <f t="shared" si="2"/>
        <v>0</v>
      </c>
      <c r="K134" s="58">
        <f t="shared" si="3"/>
        <v>0</v>
      </c>
      <c r="L134" s="33"/>
      <c r="M134" s="58">
        <f t="shared" si="4"/>
        <v>0</v>
      </c>
      <c r="N134" s="58" t="str">
        <f t="shared" si="5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 t="array" ref="D135">_xlfn.XLOOKUP(C135,Referensi!$C$5:$C$11,Referensi!$E$5:$E$11,,-1)</f>
        <v/>
      </c>
      <c r="E135" s="56" t="str">
        <f t="array" ref="E135">_xlfn.XLOOKUP(C135,Referensi!$D$5:$D$11,Referensi!$F$5:$F$11,,-1)</f>
        <v/>
      </c>
      <c r="F135" s="33"/>
      <c r="G135" s="33"/>
      <c r="H135" s="38">
        <f t="shared" si="6"/>
        <v>0</v>
      </c>
      <c r="I135" s="38" t="str">
        <f t="shared" si="1"/>
        <v/>
      </c>
      <c r="J135" s="57">
        <f t="shared" si="2"/>
        <v>0</v>
      </c>
      <c r="K135" s="58">
        <f t="shared" si="3"/>
        <v>0</v>
      </c>
      <c r="L135" s="33"/>
      <c r="M135" s="58">
        <f t="shared" si="4"/>
        <v>0</v>
      </c>
      <c r="N135" s="58" t="str">
        <f t="shared" si="5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 t="array" ref="D136">_xlfn.XLOOKUP(C136,Referensi!$C$5:$C$11,Referensi!$E$5:$E$11,,-1)</f>
        <v/>
      </c>
      <c r="E136" s="56" t="str">
        <f t="array" ref="E136">_xlfn.XLOOKUP(C136,Referensi!$D$5:$D$11,Referensi!$F$5:$F$11,,-1)</f>
        <v/>
      </c>
      <c r="F136" s="33"/>
      <c r="G136" s="33"/>
      <c r="H136" s="38">
        <f t="shared" si="6"/>
        <v>0</v>
      </c>
      <c r="I136" s="38" t="str">
        <f t="shared" si="1"/>
        <v/>
      </c>
      <c r="J136" s="57">
        <f t="shared" si="2"/>
        <v>0</v>
      </c>
      <c r="K136" s="58">
        <f t="shared" si="3"/>
        <v>0</v>
      </c>
      <c r="L136" s="33"/>
      <c r="M136" s="58">
        <f t="shared" si="4"/>
        <v>0</v>
      </c>
      <c r="N136" s="58" t="str">
        <f t="shared" si="5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 t="array" ref="D137">_xlfn.XLOOKUP(C137,Referensi!$C$5:$C$11,Referensi!$E$5:$E$11,,-1)</f>
        <v/>
      </c>
      <c r="E137" s="56" t="str">
        <f t="array" ref="E137">_xlfn.XLOOKUP(C137,Referensi!$D$5:$D$11,Referensi!$F$5:$F$11,,-1)</f>
        <v/>
      </c>
      <c r="F137" s="33"/>
      <c r="G137" s="33"/>
      <c r="H137" s="38">
        <f t="shared" si="6"/>
        <v>0</v>
      </c>
      <c r="I137" s="38" t="str">
        <f t="shared" si="1"/>
        <v/>
      </c>
      <c r="J137" s="57">
        <f t="shared" si="2"/>
        <v>0</v>
      </c>
      <c r="K137" s="58">
        <f t="shared" si="3"/>
        <v>0</v>
      </c>
      <c r="L137" s="33"/>
      <c r="M137" s="58">
        <f t="shared" si="4"/>
        <v>0</v>
      </c>
      <c r="N137" s="58" t="str">
        <f t="shared" si="5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60">
        <v>126.0</v>
      </c>
      <c r="C138" s="33"/>
      <c r="D138" s="56" t="str">
        <f t="array" ref="D138">_xlfn.XLOOKUP(C138,Referensi!$C$5:$C$11,Referensi!$E$5:$E$11,,-1)</f>
        <v/>
      </c>
      <c r="E138" s="56" t="str">
        <f t="array" ref="E138">_xlfn.XLOOKUP(C138,Referensi!$D$5:$D$11,Referensi!$F$5:$F$11,,-1)</f>
        <v/>
      </c>
      <c r="F138" s="33"/>
      <c r="G138" s="33"/>
      <c r="H138" s="38">
        <f t="shared" si="6"/>
        <v>0</v>
      </c>
      <c r="I138" s="38" t="str">
        <f t="shared" si="1"/>
        <v/>
      </c>
      <c r="J138" s="57">
        <f t="shared" si="2"/>
        <v>0</v>
      </c>
      <c r="K138" s="58">
        <f t="shared" si="3"/>
        <v>0</v>
      </c>
      <c r="L138" s="33"/>
      <c r="M138" s="58">
        <f t="shared" si="4"/>
        <v>0</v>
      </c>
      <c r="N138" s="58" t="str">
        <f t="shared" si="5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 t="array" ref="D139">_xlfn.XLOOKUP(C139,Referensi!$C$5:$C$11,Referensi!$E$5:$E$11,,-1)</f>
        <v/>
      </c>
      <c r="E139" s="56" t="str">
        <f t="array" ref="E139">_xlfn.XLOOKUP(C139,Referensi!$D$5:$D$11,Referensi!$F$5:$F$11,,-1)</f>
        <v/>
      </c>
      <c r="F139" s="33"/>
      <c r="G139" s="33"/>
      <c r="H139" s="38">
        <f t="shared" si="6"/>
        <v>0</v>
      </c>
      <c r="I139" s="38" t="str">
        <f t="shared" si="1"/>
        <v/>
      </c>
      <c r="J139" s="57">
        <f t="shared" si="2"/>
        <v>0</v>
      </c>
      <c r="K139" s="58">
        <f t="shared" si="3"/>
        <v>0</v>
      </c>
      <c r="L139" s="33"/>
      <c r="M139" s="58">
        <f t="shared" si="4"/>
        <v>0</v>
      </c>
      <c r="N139" s="58" t="str">
        <f t="shared" si="5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 t="array" ref="D140">_xlfn.XLOOKUP(C140,Referensi!$C$5:$C$11,Referensi!$E$5:$E$11,,-1)</f>
        <v/>
      </c>
      <c r="E140" s="56" t="str">
        <f t="array" ref="E140">_xlfn.XLOOKUP(C140,Referensi!$D$5:$D$11,Referensi!$F$5:$F$11,,-1)</f>
        <v/>
      </c>
      <c r="F140" s="33"/>
      <c r="G140" s="33"/>
      <c r="H140" s="38">
        <f t="shared" si="6"/>
        <v>0</v>
      </c>
      <c r="I140" s="38" t="str">
        <f t="shared" si="1"/>
        <v/>
      </c>
      <c r="J140" s="57">
        <f t="shared" si="2"/>
        <v>0</v>
      </c>
      <c r="K140" s="58">
        <f t="shared" si="3"/>
        <v>0</v>
      </c>
      <c r="L140" s="33"/>
      <c r="M140" s="58">
        <f t="shared" si="4"/>
        <v>0</v>
      </c>
      <c r="N140" s="58" t="str">
        <f t="shared" si="5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 t="array" ref="D141">_xlfn.XLOOKUP(C141,Referensi!$C$5:$C$11,Referensi!$E$5:$E$11,,-1)</f>
        <v/>
      </c>
      <c r="E141" s="56" t="str">
        <f t="array" ref="E141">_xlfn.XLOOKUP(C141,Referensi!$D$5:$D$11,Referensi!$F$5:$F$11,,-1)</f>
        <v/>
      </c>
      <c r="F141" s="33"/>
      <c r="G141" s="33"/>
      <c r="H141" s="38">
        <f t="shared" si="6"/>
        <v>0</v>
      </c>
      <c r="I141" s="38" t="str">
        <f t="shared" si="1"/>
        <v/>
      </c>
      <c r="J141" s="57">
        <f t="shared" si="2"/>
        <v>0</v>
      </c>
      <c r="K141" s="58">
        <f t="shared" si="3"/>
        <v>0</v>
      </c>
      <c r="L141" s="33"/>
      <c r="M141" s="58">
        <f t="shared" si="4"/>
        <v>0</v>
      </c>
      <c r="N141" s="58" t="str">
        <f t="shared" si="5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 t="array" ref="D142">_xlfn.XLOOKUP(C142,Referensi!$C$5:$C$11,Referensi!$E$5:$E$11,,-1)</f>
        <v/>
      </c>
      <c r="E142" s="56" t="str">
        <f t="array" ref="E142">_xlfn.XLOOKUP(C142,Referensi!$D$5:$D$11,Referensi!$F$5:$F$11,,-1)</f>
        <v/>
      </c>
      <c r="F142" s="33"/>
      <c r="G142" s="33"/>
      <c r="H142" s="38">
        <f t="shared" si="6"/>
        <v>0</v>
      </c>
      <c r="I142" s="38" t="str">
        <f t="shared" si="1"/>
        <v/>
      </c>
      <c r="J142" s="57">
        <f t="shared" si="2"/>
        <v>0</v>
      </c>
      <c r="K142" s="58">
        <f t="shared" si="3"/>
        <v>0</v>
      </c>
      <c r="L142" s="33"/>
      <c r="M142" s="58">
        <f t="shared" si="4"/>
        <v>0</v>
      </c>
      <c r="N142" s="58" t="str">
        <f t="shared" si="5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 t="array" ref="D143">_xlfn.XLOOKUP(C143,Referensi!$C$5:$C$11,Referensi!$E$5:$E$11,,-1)</f>
        <v/>
      </c>
      <c r="E143" s="56" t="str">
        <f t="array" ref="E143">_xlfn.XLOOKUP(C143,Referensi!$D$5:$D$11,Referensi!$F$5:$F$11,,-1)</f>
        <v/>
      </c>
      <c r="F143" s="33"/>
      <c r="G143" s="33"/>
      <c r="H143" s="38">
        <f t="shared" si="6"/>
        <v>0</v>
      </c>
      <c r="I143" s="38" t="str">
        <f t="shared" si="1"/>
        <v/>
      </c>
      <c r="J143" s="57">
        <f t="shared" si="2"/>
        <v>0</v>
      </c>
      <c r="K143" s="58">
        <f t="shared" si="3"/>
        <v>0</v>
      </c>
      <c r="L143" s="33"/>
      <c r="M143" s="58">
        <f t="shared" si="4"/>
        <v>0</v>
      </c>
      <c r="N143" s="58" t="str">
        <f t="shared" si="5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 t="array" ref="D144">_xlfn.XLOOKUP(C144,Referensi!$C$5:$C$11,Referensi!$E$5:$E$11,,-1)</f>
        <v/>
      </c>
      <c r="E144" s="56" t="str">
        <f t="array" ref="E144">_xlfn.XLOOKUP(C144,Referensi!$D$5:$D$11,Referensi!$F$5:$F$11,,-1)</f>
        <v/>
      </c>
      <c r="F144" s="33"/>
      <c r="G144" s="33"/>
      <c r="H144" s="38">
        <f t="shared" si="6"/>
        <v>0</v>
      </c>
      <c r="I144" s="38" t="str">
        <f t="shared" si="1"/>
        <v/>
      </c>
      <c r="J144" s="57">
        <f t="shared" si="2"/>
        <v>0</v>
      </c>
      <c r="K144" s="58">
        <f t="shared" si="3"/>
        <v>0</v>
      </c>
      <c r="L144" s="33"/>
      <c r="M144" s="58">
        <f t="shared" si="4"/>
        <v>0</v>
      </c>
      <c r="N144" s="58" t="str">
        <f t="shared" si="5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60">
        <v>133.0</v>
      </c>
      <c r="C145" s="33"/>
      <c r="D145" s="56" t="str">
        <f t="array" ref="D145">_xlfn.XLOOKUP(C145,Referensi!$C$5:$C$11,Referensi!$E$5:$E$11,,-1)</f>
        <v/>
      </c>
      <c r="E145" s="56" t="str">
        <f t="array" ref="E145">_xlfn.XLOOKUP(C145,Referensi!$D$5:$D$11,Referensi!$F$5:$F$11,,-1)</f>
        <v/>
      </c>
      <c r="F145" s="33"/>
      <c r="G145" s="33"/>
      <c r="H145" s="38">
        <f t="shared" si="6"/>
        <v>0</v>
      </c>
      <c r="I145" s="38" t="str">
        <f t="shared" si="1"/>
        <v/>
      </c>
      <c r="J145" s="57">
        <f t="shared" si="2"/>
        <v>0</v>
      </c>
      <c r="K145" s="58">
        <f t="shared" si="3"/>
        <v>0</v>
      </c>
      <c r="L145" s="33"/>
      <c r="M145" s="58">
        <f t="shared" si="4"/>
        <v>0</v>
      </c>
      <c r="N145" s="58" t="str">
        <f t="shared" si="5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 t="array" ref="D146">_xlfn.XLOOKUP(C146,Referensi!$C$5:$C$11,Referensi!$E$5:$E$11,,-1)</f>
        <v/>
      </c>
      <c r="E146" s="56" t="str">
        <f t="array" ref="E146">_xlfn.XLOOKUP(C146,Referensi!$D$5:$D$11,Referensi!$F$5:$F$11,,-1)</f>
        <v/>
      </c>
      <c r="F146" s="33"/>
      <c r="G146" s="33"/>
      <c r="H146" s="38">
        <f t="shared" si="6"/>
        <v>0</v>
      </c>
      <c r="I146" s="38" t="str">
        <f t="shared" si="1"/>
        <v/>
      </c>
      <c r="J146" s="57">
        <f t="shared" si="2"/>
        <v>0</v>
      </c>
      <c r="K146" s="58">
        <f t="shared" si="3"/>
        <v>0</v>
      </c>
      <c r="L146" s="33"/>
      <c r="M146" s="58">
        <f t="shared" si="4"/>
        <v>0</v>
      </c>
      <c r="N146" s="58" t="str">
        <f t="shared" si="5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 t="array" ref="D147">_xlfn.XLOOKUP(C147,Referensi!$C$5:$C$11,Referensi!$E$5:$E$11,,-1)</f>
        <v/>
      </c>
      <c r="E147" s="56" t="str">
        <f t="array" ref="E147">_xlfn.XLOOKUP(C147,Referensi!$D$5:$D$11,Referensi!$F$5:$F$11,,-1)</f>
        <v/>
      </c>
      <c r="F147" s="33"/>
      <c r="G147" s="33"/>
      <c r="H147" s="38">
        <f t="shared" si="6"/>
        <v>0</v>
      </c>
      <c r="I147" s="38" t="str">
        <f t="shared" si="1"/>
        <v/>
      </c>
      <c r="J147" s="57">
        <f t="shared" si="2"/>
        <v>0</v>
      </c>
      <c r="K147" s="58">
        <f t="shared" si="3"/>
        <v>0</v>
      </c>
      <c r="L147" s="33"/>
      <c r="M147" s="58">
        <f t="shared" si="4"/>
        <v>0</v>
      </c>
      <c r="N147" s="58" t="str">
        <f t="shared" si="5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 t="array" ref="D148">_xlfn.XLOOKUP(C148,Referensi!$C$5:$C$11,Referensi!$E$5:$E$11,,-1)</f>
        <v/>
      </c>
      <c r="E148" s="56" t="str">
        <f t="array" ref="E148">_xlfn.XLOOKUP(C148,Referensi!$D$5:$D$11,Referensi!$F$5:$F$11,,-1)</f>
        <v/>
      </c>
      <c r="F148" s="33"/>
      <c r="G148" s="33"/>
      <c r="H148" s="38">
        <f t="shared" si="6"/>
        <v>0</v>
      </c>
      <c r="I148" s="38" t="str">
        <f t="shared" si="1"/>
        <v/>
      </c>
      <c r="J148" s="57">
        <f t="shared" si="2"/>
        <v>0</v>
      </c>
      <c r="K148" s="58">
        <f t="shared" si="3"/>
        <v>0</v>
      </c>
      <c r="L148" s="33"/>
      <c r="M148" s="58">
        <f t="shared" si="4"/>
        <v>0</v>
      </c>
      <c r="N148" s="58" t="str">
        <f t="shared" si="5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 t="array" ref="D149">_xlfn.XLOOKUP(C149,Referensi!$C$5:$C$11,Referensi!$E$5:$E$11,,-1)</f>
        <v/>
      </c>
      <c r="E149" s="56" t="str">
        <f t="array" ref="E149">_xlfn.XLOOKUP(C149,Referensi!$D$5:$D$11,Referensi!$F$5:$F$11,,-1)</f>
        <v/>
      </c>
      <c r="F149" s="33"/>
      <c r="G149" s="33"/>
      <c r="H149" s="38">
        <f t="shared" si="6"/>
        <v>0</v>
      </c>
      <c r="I149" s="38" t="str">
        <f t="shared" si="1"/>
        <v/>
      </c>
      <c r="J149" s="57">
        <f t="shared" si="2"/>
        <v>0</v>
      </c>
      <c r="K149" s="58">
        <f t="shared" si="3"/>
        <v>0</v>
      </c>
      <c r="L149" s="33"/>
      <c r="M149" s="58">
        <f t="shared" si="4"/>
        <v>0</v>
      </c>
      <c r="N149" s="58" t="str">
        <f t="shared" si="5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 t="array" ref="D150">_xlfn.XLOOKUP(C150,Referensi!$C$5:$C$11,Referensi!$E$5:$E$11,,-1)</f>
        <v/>
      </c>
      <c r="E150" s="56" t="str">
        <f t="array" ref="E150">_xlfn.XLOOKUP(C150,Referensi!$D$5:$D$11,Referensi!$F$5:$F$11,,-1)</f>
        <v/>
      </c>
      <c r="F150" s="33"/>
      <c r="G150" s="33"/>
      <c r="H150" s="38">
        <f t="shared" si="6"/>
        <v>0</v>
      </c>
      <c r="I150" s="38" t="str">
        <f t="shared" si="1"/>
        <v/>
      </c>
      <c r="J150" s="57">
        <f t="shared" si="2"/>
        <v>0</v>
      </c>
      <c r="K150" s="58">
        <f t="shared" si="3"/>
        <v>0</v>
      </c>
      <c r="L150" s="33"/>
      <c r="M150" s="58">
        <f t="shared" si="4"/>
        <v>0</v>
      </c>
      <c r="N150" s="58" t="str">
        <f t="shared" si="5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 t="array" ref="D151">_xlfn.XLOOKUP(C151,Referensi!$C$5:$C$11,Referensi!$E$5:$E$11,,-1)</f>
        <v/>
      </c>
      <c r="E151" s="56" t="str">
        <f t="array" ref="E151">_xlfn.XLOOKUP(C151,Referensi!$D$5:$D$11,Referensi!$F$5:$F$11,,-1)</f>
        <v/>
      </c>
      <c r="F151" s="33"/>
      <c r="G151" s="33"/>
      <c r="H151" s="38">
        <f t="shared" si="6"/>
        <v>0</v>
      </c>
      <c r="I151" s="38" t="str">
        <f t="shared" si="1"/>
        <v/>
      </c>
      <c r="J151" s="57">
        <f t="shared" si="2"/>
        <v>0</v>
      </c>
      <c r="K151" s="58">
        <f t="shared" si="3"/>
        <v>0</v>
      </c>
      <c r="L151" s="33"/>
      <c r="M151" s="58">
        <f t="shared" si="4"/>
        <v>0</v>
      </c>
      <c r="N151" s="58" t="str">
        <f t="shared" si="5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60">
        <v>140.0</v>
      </c>
      <c r="C152" s="33"/>
      <c r="D152" s="56" t="str">
        <f t="array" ref="D152">_xlfn.XLOOKUP(C152,Referensi!$C$5:$C$11,Referensi!$E$5:$E$11,,-1)</f>
        <v/>
      </c>
      <c r="E152" s="56" t="str">
        <f t="array" ref="E152">_xlfn.XLOOKUP(C152,Referensi!$D$5:$D$11,Referensi!$F$5:$F$11,,-1)</f>
        <v/>
      </c>
      <c r="F152" s="33"/>
      <c r="G152" s="33"/>
      <c r="H152" s="38">
        <f t="shared" si="6"/>
        <v>0</v>
      </c>
      <c r="I152" s="38" t="str">
        <f t="shared" si="1"/>
        <v/>
      </c>
      <c r="J152" s="57">
        <f t="shared" si="2"/>
        <v>0</v>
      </c>
      <c r="K152" s="58">
        <f t="shared" si="3"/>
        <v>0</v>
      </c>
      <c r="L152" s="33"/>
      <c r="M152" s="58">
        <f t="shared" si="4"/>
        <v>0</v>
      </c>
      <c r="N152" s="58" t="str">
        <f t="shared" si="5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 t="array" ref="D153">_xlfn.XLOOKUP(C153,Referensi!$C$5:$C$11,Referensi!$E$5:$E$11,,-1)</f>
        <v/>
      </c>
      <c r="E153" s="56" t="str">
        <f t="array" ref="E153">_xlfn.XLOOKUP(C153,Referensi!$D$5:$D$11,Referensi!$F$5:$F$11,,-1)</f>
        <v/>
      </c>
      <c r="F153" s="33"/>
      <c r="G153" s="33"/>
      <c r="H153" s="38">
        <f t="shared" si="6"/>
        <v>0</v>
      </c>
      <c r="I153" s="38" t="str">
        <f t="shared" si="1"/>
        <v/>
      </c>
      <c r="J153" s="57">
        <f t="shared" si="2"/>
        <v>0</v>
      </c>
      <c r="K153" s="58">
        <f t="shared" si="3"/>
        <v>0</v>
      </c>
      <c r="L153" s="33"/>
      <c r="M153" s="58">
        <f t="shared" si="4"/>
        <v>0</v>
      </c>
      <c r="N153" s="58" t="str">
        <f t="shared" si="5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 t="array" ref="D154">_xlfn.XLOOKUP(C154,Referensi!$C$5:$C$11,Referensi!$E$5:$E$11,,-1)</f>
        <v/>
      </c>
      <c r="E154" s="56" t="str">
        <f t="array" ref="E154">_xlfn.XLOOKUP(C154,Referensi!$D$5:$D$11,Referensi!$F$5:$F$11,,-1)</f>
        <v/>
      </c>
      <c r="F154" s="33"/>
      <c r="G154" s="33"/>
      <c r="H154" s="38">
        <f t="shared" si="6"/>
        <v>0</v>
      </c>
      <c r="I154" s="38" t="str">
        <f t="shared" si="1"/>
        <v/>
      </c>
      <c r="J154" s="57">
        <f t="shared" si="2"/>
        <v>0</v>
      </c>
      <c r="K154" s="58">
        <f t="shared" si="3"/>
        <v>0</v>
      </c>
      <c r="L154" s="33"/>
      <c r="M154" s="58">
        <f t="shared" si="4"/>
        <v>0</v>
      </c>
      <c r="N154" s="58" t="str">
        <f t="shared" si="5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 t="array" ref="D155">_xlfn.XLOOKUP(C155,Referensi!$C$5:$C$11,Referensi!$E$5:$E$11,,-1)</f>
        <v/>
      </c>
      <c r="E155" s="56" t="str">
        <f t="array" ref="E155">_xlfn.XLOOKUP(C155,Referensi!$D$5:$D$11,Referensi!$F$5:$F$11,,-1)</f>
        <v/>
      </c>
      <c r="F155" s="33"/>
      <c r="G155" s="33"/>
      <c r="H155" s="38">
        <f t="shared" si="6"/>
        <v>0</v>
      </c>
      <c r="I155" s="38" t="str">
        <f t="shared" si="1"/>
        <v/>
      </c>
      <c r="J155" s="57">
        <f t="shared" si="2"/>
        <v>0</v>
      </c>
      <c r="K155" s="58">
        <f t="shared" si="3"/>
        <v>0</v>
      </c>
      <c r="L155" s="33"/>
      <c r="M155" s="58">
        <f t="shared" si="4"/>
        <v>0</v>
      </c>
      <c r="N155" s="58" t="str">
        <f t="shared" si="5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 t="array" ref="D156">_xlfn.XLOOKUP(C156,Referensi!$C$5:$C$11,Referensi!$E$5:$E$11,,-1)</f>
        <v/>
      </c>
      <c r="E156" s="56" t="str">
        <f t="array" ref="E156">_xlfn.XLOOKUP(C156,Referensi!$D$5:$D$11,Referensi!$F$5:$F$11,,-1)</f>
        <v/>
      </c>
      <c r="F156" s="33"/>
      <c r="G156" s="33"/>
      <c r="H156" s="38">
        <f t="shared" si="6"/>
        <v>0</v>
      </c>
      <c r="I156" s="38" t="str">
        <f t="shared" si="1"/>
        <v/>
      </c>
      <c r="J156" s="57">
        <f t="shared" si="2"/>
        <v>0</v>
      </c>
      <c r="K156" s="58">
        <f t="shared" si="3"/>
        <v>0</v>
      </c>
      <c r="L156" s="33"/>
      <c r="M156" s="58">
        <f t="shared" si="4"/>
        <v>0</v>
      </c>
      <c r="N156" s="58" t="str">
        <f t="shared" si="5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 t="array" ref="D157">_xlfn.XLOOKUP(C157,Referensi!$C$5:$C$11,Referensi!$E$5:$E$11,,-1)</f>
        <v/>
      </c>
      <c r="E157" s="56" t="str">
        <f t="array" ref="E157">_xlfn.XLOOKUP(C157,Referensi!$D$5:$D$11,Referensi!$F$5:$F$11,,-1)</f>
        <v/>
      </c>
      <c r="F157" s="33"/>
      <c r="G157" s="33"/>
      <c r="H157" s="38">
        <f t="shared" si="6"/>
        <v>0</v>
      </c>
      <c r="I157" s="38" t="str">
        <f t="shared" si="1"/>
        <v/>
      </c>
      <c r="J157" s="57">
        <f t="shared" si="2"/>
        <v>0</v>
      </c>
      <c r="K157" s="58">
        <f t="shared" si="3"/>
        <v>0</v>
      </c>
      <c r="L157" s="33"/>
      <c r="M157" s="58">
        <f t="shared" si="4"/>
        <v>0</v>
      </c>
      <c r="N157" s="58" t="str">
        <f t="shared" si="5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 t="array" ref="D158">_xlfn.XLOOKUP(C158,Referensi!$C$5:$C$11,Referensi!$E$5:$E$11,,-1)</f>
        <v/>
      </c>
      <c r="E158" s="56" t="str">
        <f t="array" ref="E158">_xlfn.XLOOKUP(C158,Referensi!$D$5:$D$11,Referensi!$F$5:$F$11,,-1)</f>
        <v/>
      </c>
      <c r="F158" s="33"/>
      <c r="G158" s="33"/>
      <c r="H158" s="38">
        <f t="shared" si="6"/>
        <v>0</v>
      </c>
      <c r="I158" s="38" t="str">
        <f t="shared" si="1"/>
        <v/>
      </c>
      <c r="J158" s="57">
        <f t="shared" si="2"/>
        <v>0</v>
      </c>
      <c r="K158" s="58">
        <f t="shared" si="3"/>
        <v>0</v>
      </c>
      <c r="L158" s="33"/>
      <c r="M158" s="58">
        <f t="shared" si="4"/>
        <v>0</v>
      </c>
      <c r="N158" s="58" t="str">
        <f t="shared" si="5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60">
        <v>147.0</v>
      </c>
      <c r="C159" s="33"/>
      <c r="D159" s="56" t="str">
        <f t="array" ref="D159">_xlfn.XLOOKUP(C159,Referensi!$C$5:$C$11,Referensi!$E$5:$E$11,,-1)</f>
        <v/>
      </c>
      <c r="E159" s="56" t="str">
        <f t="array" ref="E159">_xlfn.XLOOKUP(C159,Referensi!$D$5:$D$11,Referensi!$F$5:$F$11,,-1)</f>
        <v/>
      </c>
      <c r="F159" s="33"/>
      <c r="G159" s="33"/>
      <c r="H159" s="38">
        <f t="shared" si="6"/>
        <v>0</v>
      </c>
      <c r="I159" s="38" t="str">
        <f t="shared" si="1"/>
        <v/>
      </c>
      <c r="J159" s="57">
        <f t="shared" si="2"/>
        <v>0</v>
      </c>
      <c r="K159" s="58">
        <f t="shared" si="3"/>
        <v>0</v>
      </c>
      <c r="L159" s="33"/>
      <c r="M159" s="58">
        <f t="shared" si="4"/>
        <v>0</v>
      </c>
      <c r="N159" s="58" t="str">
        <f t="shared" si="5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 t="array" ref="D160">_xlfn.XLOOKUP(C160,Referensi!$C$5:$C$11,Referensi!$E$5:$E$11,,-1)</f>
        <v/>
      </c>
      <c r="E160" s="56" t="str">
        <f t="array" ref="E160">_xlfn.XLOOKUP(C160,Referensi!$D$5:$D$11,Referensi!$F$5:$F$11,,-1)</f>
        <v/>
      </c>
      <c r="F160" s="33"/>
      <c r="G160" s="33"/>
      <c r="H160" s="38">
        <f t="shared" si="6"/>
        <v>0</v>
      </c>
      <c r="I160" s="38" t="str">
        <f t="shared" si="1"/>
        <v/>
      </c>
      <c r="J160" s="57">
        <f t="shared" si="2"/>
        <v>0</v>
      </c>
      <c r="K160" s="58">
        <f t="shared" si="3"/>
        <v>0</v>
      </c>
      <c r="L160" s="33"/>
      <c r="M160" s="58">
        <f t="shared" si="4"/>
        <v>0</v>
      </c>
      <c r="N160" s="58" t="str">
        <f t="shared" si="5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 t="array" ref="D161">_xlfn.XLOOKUP(C161,Referensi!$C$5:$C$11,Referensi!$E$5:$E$11,,-1)</f>
        <v/>
      </c>
      <c r="E161" s="56" t="str">
        <f t="array" ref="E161">_xlfn.XLOOKUP(C161,Referensi!$D$5:$D$11,Referensi!$F$5:$F$11,,-1)</f>
        <v/>
      </c>
      <c r="F161" s="33"/>
      <c r="G161" s="33"/>
      <c r="H161" s="38">
        <f t="shared" si="6"/>
        <v>0</v>
      </c>
      <c r="I161" s="38" t="str">
        <f t="shared" si="1"/>
        <v/>
      </c>
      <c r="J161" s="57">
        <f t="shared" si="2"/>
        <v>0</v>
      </c>
      <c r="K161" s="58">
        <f t="shared" si="3"/>
        <v>0</v>
      </c>
      <c r="L161" s="33"/>
      <c r="M161" s="58">
        <f t="shared" si="4"/>
        <v>0</v>
      </c>
      <c r="N161" s="58" t="str">
        <f t="shared" si="5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 t="array" ref="D162">_xlfn.XLOOKUP(C162,Referensi!$C$5:$C$11,Referensi!$E$5:$E$11,,-1)</f>
        <v/>
      </c>
      <c r="E162" s="56" t="str">
        <f t="array" ref="E162">_xlfn.XLOOKUP(C162,Referensi!$D$5:$D$11,Referensi!$F$5:$F$11,,-1)</f>
        <v/>
      </c>
      <c r="F162" s="33"/>
      <c r="G162" s="33"/>
      <c r="H162" s="38">
        <f t="shared" si="6"/>
        <v>0</v>
      </c>
      <c r="I162" s="38" t="str">
        <f t="shared" si="1"/>
        <v/>
      </c>
      <c r="J162" s="57">
        <f t="shared" si="2"/>
        <v>0</v>
      </c>
      <c r="K162" s="58">
        <f t="shared" si="3"/>
        <v>0</v>
      </c>
      <c r="L162" s="33"/>
      <c r="M162" s="58">
        <f t="shared" si="4"/>
        <v>0</v>
      </c>
      <c r="N162" s="58" t="str">
        <f t="shared" si="5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 t="array" ref="D163">_xlfn.XLOOKUP(C163,Referensi!$C$5:$C$11,Referensi!$E$5:$E$11,,-1)</f>
        <v/>
      </c>
      <c r="E163" s="56" t="str">
        <f t="array" ref="E163">_xlfn.XLOOKUP(C163,Referensi!$D$5:$D$11,Referensi!$F$5:$F$11,,-1)</f>
        <v/>
      </c>
      <c r="F163" s="33"/>
      <c r="G163" s="33"/>
      <c r="H163" s="38">
        <f t="shared" si="6"/>
        <v>0</v>
      </c>
      <c r="I163" s="38" t="str">
        <f t="shared" si="1"/>
        <v/>
      </c>
      <c r="J163" s="57">
        <f t="shared" si="2"/>
        <v>0</v>
      </c>
      <c r="K163" s="58">
        <f t="shared" si="3"/>
        <v>0</v>
      </c>
      <c r="L163" s="33"/>
      <c r="M163" s="58">
        <f t="shared" si="4"/>
        <v>0</v>
      </c>
      <c r="N163" s="58" t="str">
        <f t="shared" si="5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 t="array" ref="D164">_xlfn.XLOOKUP(C164,Referensi!$C$5:$C$11,Referensi!$E$5:$E$11,,-1)</f>
        <v/>
      </c>
      <c r="E164" s="56" t="str">
        <f t="array" ref="E164">_xlfn.XLOOKUP(C164,Referensi!$D$5:$D$11,Referensi!$F$5:$F$11,,-1)</f>
        <v/>
      </c>
      <c r="F164" s="33"/>
      <c r="G164" s="33"/>
      <c r="H164" s="38">
        <f t="shared" si="6"/>
        <v>0</v>
      </c>
      <c r="I164" s="38" t="str">
        <f t="shared" si="1"/>
        <v/>
      </c>
      <c r="J164" s="57">
        <f t="shared" si="2"/>
        <v>0</v>
      </c>
      <c r="K164" s="58">
        <f t="shared" si="3"/>
        <v>0</v>
      </c>
      <c r="L164" s="33"/>
      <c r="M164" s="58">
        <f t="shared" si="4"/>
        <v>0</v>
      </c>
      <c r="N164" s="58" t="str">
        <f t="shared" si="5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2">
    <mergeCell ref="B2:D2"/>
    <mergeCell ref="B4:C4"/>
    <mergeCell ref="B5:C5"/>
    <mergeCell ref="B6:C6"/>
    <mergeCell ref="B7:C7"/>
    <mergeCell ref="B10:B11"/>
    <mergeCell ref="C10:C11"/>
    <mergeCell ref="N10:N11"/>
    <mergeCell ref="O10:O11"/>
    <mergeCell ref="P10:P11"/>
    <mergeCell ref="Q10:Q11"/>
    <mergeCell ref="R10:R11"/>
    <mergeCell ref="S10:S11"/>
    <mergeCell ref="T10:T11"/>
    <mergeCell ref="U10:U11"/>
    <mergeCell ref="D10:E10"/>
    <mergeCell ref="F10:F11"/>
    <mergeCell ref="G10:G11"/>
    <mergeCell ref="H10:H11"/>
    <mergeCell ref="I10:I11"/>
    <mergeCell ref="J10:K10"/>
    <mergeCell ref="L10:M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  <col customWidth="1" min="21" max="21" width="37.5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6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79</v>
      </c>
      <c r="E2" s="1"/>
      <c r="F2" s="37" t="s">
        <v>44</v>
      </c>
      <c r="G2" s="7" t="s">
        <v>80</v>
      </c>
      <c r="H2" s="27"/>
      <c r="I2" s="32" t="s">
        <v>45</v>
      </c>
      <c r="J2" s="4" t="s">
        <v>81</v>
      </c>
      <c r="K2" s="6"/>
      <c r="L2" s="1"/>
      <c r="M2" s="34" t="s">
        <v>2</v>
      </c>
      <c r="N2" s="35" t="s">
        <v>36</v>
      </c>
      <c r="O2" s="63"/>
      <c r="P2" s="1"/>
      <c r="Q2" s="1"/>
      <c r="R2" s="1"/>
      <c r="S2" s="1"/>
      <c r="T2" s="1"/>
      <c r="U2" s="6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6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1400.0</v>
      </c>
      <c r="E4" s="1"/>
      <c r="F4" s="37" t="s">
        <v>47</v>
      </c>
      <c r="G4" s="38">
        <f>C13*D4</f>
        <v>21000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33</v>
      </c>
      <c r="O4" s="1"/>
      <c r="P4" s="1"/>
      <c r="Q4" s="1"/>
      <c r="R4" s="1"/>
      <c r="S4" s="1"/>
      <c r="T4" s="1"/>
      <c r="U4" s="6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231</v>
      </c>
      <c r="E5" s="1"/>
      <c r="F5" s="37" t="s">
        <v>50</v>
      </c>
      <c r="G5" s="44">
        <f>SUM(I13:I164)</f>
        <v>10792.35</v>
      </c>
      <c r="H5" s="27"/>
      <c r="I5" s="32" t="s">
        <v>51</v>
      </c>
      <c r="J5" s="43">
        <v>0.17</v>
      </c>
      <c r="K5" s="28"/>
      <c r="L5" s="1"/>
      <c r="M5" s="28"/>
      <c r="N5" s="1"/>
      <c r="O5" s="1"/>
      <c r="P5" s="1"/>
      <c r="Q5" s="1"/>
      <c r="R5" s="1"/>
      <c r="S5" s="1"/>
      <c r="T5" s="1"/>
      <c r="U5" s="6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1169</v>
      </c>
      <c r="E6" s="1"/>
      <c r="F6" s="37" t="s">
        <v>53</v>
      </c>
      <c r="G6" s="64">
        <f>IFERROR(__xludf.DUMMYFUNCTION("IFERROR(CHOOSEROWS(FILTER(H13:H161, LEN(H13:H161) &gt; 0, H13:H161 &lt;&gt; 0), -1), ""Data Masih Kosong"")"),30325.0)</f>
        <v>30325</v>
      </c>
      <c r="H6" s="27"/>
      <c r="I6" s="32" t="s">
        <v>54</v>
      </c>
      <c r="J6" s="43">
        <v>0.05</v>
      </c>
      <c r="K6" s="28"/>
      <c r="L6" s="1"/>
      <c r="M6" s="65" t="s">
        <v>82</v>
      </c>
      <c r="N6" s="1"/>
      <c r="O6" s="1"/>
      <c r="P6" s="1"/>
      <c r="Q6" s="1"/>
      <c r="R6" s="1"/>
      <c r="S6" s="1"/>
      <c r="T6" s="1"/>
      <c r="U6" s="6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66">
        <f>D6/D4</f>
        <v>0.835</v>
      </c>
      <c r="E7" s="1"/>
      <c r="F7" s="37" t="s">
        <v>56</v>
      </c>
      <c r="G7" s="11">
        <f>IFERROR(G5/(G6-G4),0)</f>
        <v>1.157356568</v>
      </c>
      <c r="H7" s="27"/>
      <c r="I7" s="27"/>
      <c r="J7" s="1"/>
      <c r="K7" s="28"/>
      <c r="L7" s="1"/>
      <c r="M7" s="67" t="s">
        <v>83</v>
      </c>
      <c r="U7" s="6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1213</v>
      </c>
      <c r="H8" s="27"/>
      <c r="I8" s="32" t="s">
        <v>58</v>
      </c>
      <c r="J8" s="46">
        <f>IFERROR(__xludf.DUMMYFUNCTION("IFERROR(CHOOSEROWS(FILTER(D13:D161, LEN(D13:D161) &gt; 0, D13:D161 &lt;&gt; 0), -1), 0)"),0.04)</f>
        <v>0.04</v>
      </c>
      <c r="K8" s="28"/>
      <c r="L8" s="1"/>
      <c r="M8" s="28"/>
      <c r="N8" s="1"/>
      <c r="O8" s="1"/>
      <c r="P8" s="1"/>
      <c r="Q8" s="1"/>
      <c r="R8" s="1"/>
      <c r="S8" s="1"/>
      <c r="T8" s="1"/>
      <c r="U8" s="6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6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68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46285.0</v>
      </c>
      <c r="B13" s="70">
        <v>1.0</v>
      </c>
      <c r="C13" s="7">
        <v>15.0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2.0</v>
      </c>
      <c r="G13" s="8">
        <f>$D$4-F13</f>
        <v>1398</v>
      </c>
      <c r="H13" s="38">
        <f>C13*G13</f>
        <v>20970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68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46286.0</v>
      </c>
      <c r="B14" s="70">
        <v>2.0</v>
      </c>
      <c r="C14" s="7">
        <v>15.0</v>
      </c>
      <c r="D14" s="56">
        <f>IF(C14="", "", IF(VLOOKUP(C14, Referensi!$C$5:$E$11, 3, TRUE) &gt; 1, VLOOKUP(C14, Referensi!$C$5:$E$11, 3, TRUE) / 100, VLOOKUP(C14, Referensi!$C$5:$E$11, 3, TRUE)))</f>
        <v>0.05</v>
      </c>
      <c r="E14" s="56">
        <f>IF(C14="", "", IF(VLOOKUP(C14, Referensi!$C$5:$F$11, 4, TRUE) &gt; 1, VLOOKUP(C14, Referensi!$C$5:$F$11, 4, TRUE) / 100, VLOOKUP(C14, Referensi!$C$5:$F$11, 4, TRUE)))</f>
        <v>0.08</v>
      </c>
      <c r="F14" s="8">
        <v>1.0</v>
      </c>
      <c r="G14" s="8">
        <f t="shared" ref="G14:G164" si="5">IF(C14="","",G13-F14)</f>
        <v>1397</v>
      </c>
      <c r="H14" s="38">
        <f t="shared" ref="H14:H164" si="6">IF(C14="","", C14*G14)</f>
        <v>20955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7.6</v>
      </c>
      <c r="Q14" s="33"/>
      <c r="R14" s="7">
        <v>5.7</v>
      </c>
      <c r="S14" s="7">
        <v>30.4</v>
      </c>
      <c r="T14" s="33"/>
      <c r="U14" s="68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46287.0</v>
      </c>
      <c r="B15" s="7">
        <v>3.0</v>
      </c>
      <c r="C15" s="7">
        <v>15.0</v>
      </c>
      <c r="D15" s="56">
        <f>IF(C15="", "", IF(VLOOKUP(C15, Referensi!$C$5:$E$11, 3, TRUE) &gt; 1, VLOOKUP(C15, Referensi!$C$5:$E$11, 3, TRUE) / 100, VLOOKUP(C15, Referensi!$C$5:$E$11, 3, TRUE)))</f>
        <v>0.05</v>
      </c>
      <c r="E15" s="56">
        <f>IF(C15="", "", IF(VLOOKUP(C15, Referensi!$C$5:$F$11, 4, TRUE) &gt; 1, VLOOKUP(C15, Referensi!$C$5:$F$11, 4, TRUE) / 100, VLOOKUP(C15, Referensi!$C$5:$F$11, 4, TRUE)))</f>
        <v>0.08</v>
      </c>
      <c r="F15" s="8">
        <v>6.0</v>
      </c>
      <c r="G15" s="8">
        <f t="shared" si="5"/>
        <v>1391</v>
      </c>
      <c r="H15" s="38">
        <f t="shared" si="6"/>
        <v>20865</v>
      </c>
      <c r="I15" s="8">
        <f t="shared" ref="I15:I19" si="7">IF(C15=0,"",AVERAGE(D15:E15)*H15)</f>
        <v>1356.225</v>
      </c>
      <c r="J15" s="57">
        <f t="shared" si="1"/>
        <v>67.81125</v>
      </c>
      <c r="K15" s="58">
        <f t="shared" si="2"/>
        <v>230.55825</v>
      </c>
      <c r="L15" s="7"/>
      <c r="M15" s="58">
        <f t="shared" si="3"/>
        <v>0</v>
      </c>
      <c r="N15" s="58">
        <f t="shared" si="4"/>
        <v>3.4</v>
      </c>
      <c r="O15" s="33"/>
      <c r="P15" s="7"/>
      <c r="Q15" s="33"/>
      <c r="R15" s="7"/>
      <c r="S15" s="33"/>
      <c r="T15" s="33"/>
      <c r="U15" s="71" t="s">
        <v>85</v>
      </c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46288.0</v>
      </c>
      <c r="B16" s="7">
        <v>4.0</v>
      </c>
      <c r="C16" s="7">
        <v>15.0</v>
      </c>
      <c r="D16" s="56">
        <f>IF(C16="", "", IF(VLOOKUP(C16, Referensi!$C$5:$E$11, 3, TRUE) &gt; 1, VLOOKUP(C16, Referensi!$C$5:$E$11, 3, TRUE) / 100, VLOOKUP(C16, Referensi!$C$5:$E$11, 3, TRUE)))</f>
        <v>0.05</v>
      </c>
      <c r="E16" s="56">
        <f>IF(C16="", "", IF(VLOOKUP(C16, Referensi!$C$5:$F$11, 4, TRUE) &gt; 1, VLOOKUP(C16, Referensi!$C$5:$F$11, 4, TRUE) / 100, VLOOKUP(C16, Referensi!$C$5:$F$11, 4, TRUE)))</f>
        <v>0.08</v>
      </c>
      <c r="F16" s="8">
        <v>9.0</v>
      </c>
      <c r="G16" s="8">
        <f t="shared" si="5"/>
        <v>1382</v>
      </c>
      <c r="H16" s="38">
        <f t="shared" si="6"/>
        <v>20730</v>
      </c>
      <c r="I16" s="8">
        <f t="shared" si="7"/>
        <v>1347.45</v>
      </c>
      <c r="J16" s="57">
        <f t="shared" si="1"/>
        <v>67.3725</v>
      </c>
      <c r="K16" s="58">
        <f t="shared" si="2"/>
        <v>229.0665</v>
      </c>
      <c r="L16" s="33"/>
      <c r="M16" s="58">
        <f t="shared" si="3"/>
        <v>0</v>
      </c>
      <c r="N16" s="58">
        <f t="shared" si="4"/>
        <v>3.4</v>
      </c>
      <c r="O16" s="33"/>
      <c r="P16" s="33"/>
      <c r="Q16" s="33"/>
      <c r="R16" s="33"/>
      <c r="S16" s="33"/>
      <c r="T16" s="33"/>
      <c r="U16" s="68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46289.0</v>
      </c>
      <c r="B17" s="7">
        <v>5.0</v>
      </c>
      <c r="C17" s="7">
        <v>15.0</v>
      </c>
      <c r="D17" s="56">
        <f>IF(C17="", "", IF(VLOOKUP(C17, Referensi!$C$5:$E$11, 3, TRUE) &gt; 1, VLOOKUP(C17, Referensi!$C$5:$E$11, 3, TRUE) / 100, VLOOKUP(C17, Referensi!$C$5:$E$11, 3, TRUE)))</f>
        <v>0.05</v>
      </c>
      <c r="E17" s="56">
        <f>IF(C17="", "", IF(VLOOKUP(C17, Referensi!$C$5:$F$11, 4, TRUE) &gt; 1, VLOOKUP(C17, Referensi!$C$5:$F$11, 4, TRUE) / 100, VLOOKUP(C17, Referensi!$C$5:$F$11, 4, TRUE)))</f>
        <v>0.08</v>
      </c>
      <c r="F17" s="8">
        <v>13.0</v>
      </c>
      <c r="G17" s="8">
        <f t="shared" si="5"/>
        <v>1369</v>
      </c>
      <c r="H17" s="38">
        <f t="shared" si="6"/>
        <v>20535</v>
      </c>
      <c r="I17" s="8">
        <f t="shared" si="7"/>
        <v>1334.775</v>
      </c>
      <c r="J17" s="57">
        <f t="shared" si="1"/>
        <v>66.73875</v>
      </c>
      <c r="K17" s="58">
        <f t="shared" si="2"/>
        <v>226.91175</v>
      </c>
      <c r="L17" s="33"/>
      <c r="M17" s="58">
        <f t="shared" si="3"/>
        <v>0</v>
      </c>
      <c r="N17" s="58">
        <f t="shared" si="4"/>
        <v>3.4</v>
      </c>
      <c r="O17" s="33"/>
      <c r="P17" s="33"/>
      <c r="Q17" s="33"/>
      <c r="R17" s="33"/>
      <c r="S17" s="33"/>
      <c r="T17" s="33"/>
      <c r="U17" s="68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46290.0</v>
      </c>
      <c r="B18" s="7">
        <v>6.0</v>
      </c>
      <c r="C18" s="7">
        <v>15.0</v>
      </c>
      <c r="D18" s="56">
        <f>IF(C18="", "", IF(VLOOKUP(C18, Referensi!$C$5:$E$11, 3, TRUE) &gt; 1, VLOOKUP(C18, Referensi!$C$5:$E$11, 3, TRUE) / 100, VLOOKUP(C18, Referensi!$C$5:$E$11, 3, TRUE)))</f>
        <v>0.05</v>
      </c>
      <c r="E18" s="56">
        <f>IF(C18="", "", IF(VLOOKUP(C18, Referensi!$C$5:$F$11, 4, TRUE) &gt; 1, VLOOKUP(C18, Referensi!$C$5:$F$11, 4, TRUE) / 100, VLOOKUP(C18, Referensi!$C$5:$F$11, 4, TRUE)))</f>
        <v>0.08</v>
      </c>
      <c r="F18" s="8">
        <v>19.0</v>
      </c>
      <c r="G18" s="8">
        <f t="shared" si="5"/>
        <v>1350</v>
      </c>
      <c r="H18" s="38">
        <f t="shared" si="6"/>
        <v>20250</v>
      </c>
      <c r="I18" s="8">
        <f t="shared" si="7"/>
        <v>1316.25</v>
      </c>
      <c r="J18" s="57">
        <f t="shared" si="1"/>
        <v>65.8125</v>
      </c>
      <c r="K18" s="58">
        <f t="shared" si="2"/>
        <v>223.7625</v>
      </c>
      <c r="L18" s="33"/>
      <c r="M18" s="58">
        <f t="shared" si="3"/>
        <v>0</v>
      </c>
      <c r="N18" s="58">
        <f t="shared" si="4"/>
        <v>3.4</v>
      </c>
      <c r="O18" s="33"/>
      <c r="P18" s="33"/>
      <c r="Q18" s="33"/>
      <c r="R18" s="33"/>
      <c r="S18" s="33"/>
      <c r="T18" s="33"/>
      <c r="U18" s="71" t="s">
        <v>85</v>
      </c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46291.0</v>
      </c>
      <c r="B19" s="7">
        <v>7.0</v>
      </c>
      <c r="C19" s="7">
        <v>15.0</v>
      </c>
      <c r="D19" s="56">
        <f>IF(C19="", "", IF(VLOOKUP(C19, Referensi!$C$5:$E$11, 3, TRUE) &gt; 1, VLOOKUP(C19, Referensi!$C$5:$E$11, 3, TRUE) / 100, VLOOKUP(C19, Referensi!$C$5:$E$11, 3, TRUE)))</f>
        <v>0.05</v>
      </c>
      <c r="E19" s="56">
        <f>IF(C19="", "", IF(VLOOKUP(C19, Referensi!$C$5:$F$11, 4, TRUE) &gt; 1, VLOOKUP(C19, Referensi!$C$5:$F$11, 4, TRUE) / 100, VLOOKUP(C19, Referensi!$C$5:$F$11, 4, TRUE)))</f>
        <v>0.08</v>
      </c>
      <c r="F19" s="8">
        <v>41.0</v>
      </c>
      <c r="G19" s="8">
        <f t="shared" si="5"/>
        <v>1309</v>
      </c>
      <c r="H19" s="38">
        <f t="shared" si="6"/>
        <v>19635</v>
      </c>
      <c r="I19" s="8">
        <f t="shared" si="7"/>
        <v>1276.275</v>
      </c>
      <c r="J19" s="57">
        <f t="shared" si="1"/>
        <v>63.81375</v>
      </c>
      <c r="K19" s="58">
        <f t="shared" si="2"/>
        <v>216.96675</v>
      </c>
      <c r="L19" s="33"/>
      <c r="M19" s="58">
        <f t="shared" si="3"/>
        <v>0</v>
      </c>
      <c r="N19" s="58">
        <f t="shared" si="4"/>
        <v>3.4</v>
      </c>
      <c r="O19" s="33"/>
      <c r="P19" s="33"/>
      <c r="Q19" s="33"/>
      <c r="R19" s="33"/>
      <c r="S19" s="33"/>
      <c r="T19" s="33"/>
      <c r="U19" s="68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46292.0</v>
      </c>
      <c r="B20" s="70">
        <v>8.0</v>
      </c>
      <c r="C20" s="70">
        <v>25.0</v>
      </c>
      <c r="D20" s="72">
        <f>IF(C20="", "", IF(VLOOKUP(C20, Referensi!$C$5:$E$11, 3, TRUE) &gt; 1, VLOOKUP(C20, Referensi!$C$5:$E$11, 3, TRUE) / 100, VLOOKUP(C20, Referensi!$C$5:$E$11, 3, TRUE)))</f>
        <v>0.04</v>
      </c>
      <c r="E20" s="72">
        <f>IF(C20="", "", IF(VLOOKUP(C20, Referensi!$C$5:$F$11, 4, TRUE) &gt; 1, VLOOKUP(C20, Referensi!$C$5:$F$11, 4, TRUE) / 100, VLOOKUP(C20, Referensi!$C$5:$F$11, 4, TRUE)))</f>
        <v>0.05</v>
      </c>
      <c r="F20" s="73">
        <v>26.0</v>
      </c>
      <c r="G20" s="73">
        <f t="shared" si="5"/>
        <v>1283</v>
      </c>
      <c r="H20" s="74">
        <f t="shared" si="6"/>
        <v>32075</v>
      </c>
      <c r="I20" s="73">
        <v>0.0</v>
      </c>
      <c r="J20" s="57">
        <f t="shared" si="1"/>
        <v>0</v>
      </c>
      <c r="K20" s="75">
        <f t="shared" si="2"/>
        <v>0</v>
      </c>
      <c r="L20" s="76"/>
      <c r="M20" s="75">
        <f t="shared" si="3"/>
        <v>0</v>
      </c>
      <c r="N20" s="75" t="str">
        <f t="shared" si="4"/>
        <v/>
      </c>
      <c r="O20" s="76"/>
      <c r="P20" s="76"/>
      <c r="Q20" s="76"/>
      <c r="R20" s="76"/>
      <c r="S20" s="76"/>
      <c r="T20" s="76"/>
      <c r="U20" s="77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46293.0</v>
      </c>
      <c r="B21" s="7">
        <v>9.0</v>
      </c>
      <c r="C21" s="7">
        <v>25.0</v>
      </c>
      <c r="D21" s="56">
        <f>IF(C21="", "", IF(VLOOKUP(C21, Referensi!$C$5:$E$11, 3, TRUE) &gt; 1, VLOOKUP(C21, Referensi!$C$5:$E$11, 3, TRUE) / 100, VLOOKUP(C21, Referensi!$C$5:$E$11, 3, TRUE)))</f>
        <v>0.04</v>
      </c>
      <c r="E21" s="56">
        <f>IF(C21="", "", IF(VLOOKUP(C21, Referensi!$C$5:$F$11, 4, TRUE) &gt; 1, VLOOKUP(C21, Referensi!$C$5:$F$11, 4, TRUE) / 100, VLOOKUP(C21, Referensi!$C$5:$F$11, 4, TRUE)))</f>
        <v>0.05</v>
      </c>
      <c r="F21" s="8">
        <v>30.0</v>
      </c>
      <c r="G21" s="8">
        <f t="shared" si="5"/>
        <v>1253</v>
      </c>
      <c r="H21" s="38">
        <f t="shared" si="6"/>
        <v>31325</v>
      </c>
      <c r="I21" s="8">
        <f t="shared" ref="I21:I164" si="8">IF(C21=0,"",AVERAGE(D21:E21)*H21)</f>
        <v>1409.625</v>
      </c>
      <c r="J21" s="57">
        <f t="shared" si="1"/>
        <v>70.48125</v>
      </c>
      <c r="K21" s="58">
        <f t="shared" si="2"/>
        <v>239.63625</v>
      </c>
      <c r="L21" s="33"/>
      <c r="M21" s="58">
        <f t="shared" si="3"/>
        <v>0</v>
      </c>
      <c r="N21" s="58">
        <f t="shared" si="4"/>
        <v>3.4</v>
      </c>
      <c r="O21" s="33"/>
      <c r="P21" s="33"/>
      <c r="Q21" s="33"/>
      <c r="R21" s="33"/>
      <c r="S21" s="33"/>
      <c r="T21" s="33"/>
      <c r="U21" s="71" t="s">
        <v>86</v>
      </c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46294.0</v>
      </c>
      <c r="B22" s="7">
        <v>10.0</v>
      </c>
      <c r="C22" s="7">
        <v>25.0</v>
      </c>
      <c r="D22" s="56">
        <f>IF(C22="", "", IF(VLOOKUP(C22, Referensi!$C$5:$E$11, 3, TRUE) &gt; 1, VLOOKUP(C22, Referensi!$C$5:$E$11, 3, TRUE) / 100, VLOOKUP(C22, Referensi!$C$5:$E$11, 3, TRUE)))</f>
        <v>0.04</v>
      </c>
      <c r="E22" s="56">
        <f>IF(C22="", "", IF(VLOOKUP(C22, Referensi!$C$5:$F$11, 4, TRUE) &gt; 1, VLOOKUP(C22, Referensi!$C$5:$F$11, 4, TRUE) / 100, VLOOKUP(C22, Referensi!$C$5:$F$11, 4, TRUE)))</f>
        <v>0.05</v>
      </c>
      <c r="F22" s="8">
        <v>20.0</v>
      </c>
      <c r="G22" s="8">
        <f t="shared" si="5"/>
        <v>1233</v>
      </c>
      <c r="H22" s="38">
        <f t="shared" si="6"/>
        <v>30825</v>
      </c>
      <c r="I22" s="8">
        <f t="shared" si="8"/>
        <v>1387.125</v>
      </c>
      <c r="J22" s="57">
        <f t="shared" si="1"/>
        <v>69.35625</v>
      </c>
      <c r="K22" s="58">
        <f t="shared" si="2"/>
        <v>235.81125</v>
      </c>
      <c r="L22" s="33"/>
      <c r="M22" s="58">
        <f t="shared" si="3"/>
        <v>0</v>
      </c>
      <c r="N22" s="58">
        <f t="shared" si="4"/>
        <v>3.4</v>
      </c>
      <c r="O22" s="33"/>
      <c r="P22" s="7">
        <v>7.5</v>
      </c>
      <c r="Q22" s="7"/>
      <c r="R22" s="7">
        <v>4.7</v>
      </c>
      <c r="S22" s="7">
        <v>27.0</v>
      </c>
      <c r="T22" s="33"/>
      <c r="U22" s="68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46295.0</v>
      </c>
      <c r="B23" s="78">
        <v>11.0</v>
      </c>
      <c r="C23" s="78">
        <v>25.0</v>
      </c>
      <c r="D23" s="79">
        <f>IF(C23="", "", IF(VLOOKUP(C23, Referensi!$C$5:$E$11, 3, TRUE) &gt; 1, VLOOKUP(C23, Referensi!$C$5:$E$11, 3, TRUE) / 100, VLOOKUP(C23, Referensi!$C$5:$E$11, 3, TRUE)))</f>
        <v>0.04</v>
      </c>
      <c r="E23" s="79">
        <f>IF(C23="", "", IF(VLOOKUP(C23, Referensi!$C$5:$F$11, 4, TRUE) &gt; 1, VLOOKUP(C23, Referensi!$C$5:$F$11, 4, TRUE) / 100, VLOOKUP(C23, Referensi!$C$5:$F$11, 4, TRUE)))</f>
        <v>0.05</v>
      </c>
      <c r="F23" s="80">
        <v>20.0</v>
      </c>
      <c r="G23" s="80">
        <f t="shared" si="5"/>
        <v>1213</v>
      </c>
      <c r="H23" s="81">
        <f t="shared" si="6"/>
        <v>30325</v>
      </c>
      <c r="I23" s="80">
        <f t="shared" si="8"/>
        <v>1364.625</v>
      </c>
      <c r="J23" s="82">
        <f t="shared" si="1"/>
        <v>68.23125</v>
      </c>
      <c r="K23" s="83">
        <f t="shared" si="2"/>
        <v>231.98625</v>
      </c>
      <c r="L23" s="84"/>
      <c r="M23" s="83">
        <f t="shared" si="3"/>
        <v>0</v>
      </c>
      <c r="N23" s="83">
        <f t="shared" si="4"/>
        <v>3.4</v>
      </c>
      <c r="O23" s="84"/>
      <c r="P23" s="84"/>
      <c r="Q23" s="84"/>
      <c r="R23" s="84"/>
      <c r="S23" s="84"/>
      <c r="T23" s="84"/>
      <c r="U23" s="85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46296.0</v>
      </c>
      <c r="B24" s="78">
        <v>12.0</v>
      </c>
      <c r="C24" s="84"/>
      <c r="D24" s="79" t="str">
        <f>IF(C24="", "", IF(VLOOKUP(C24, Referensi!$C$5:$E$11, 3, TRUE) &gt; 1, VLOOKUP(C24, Referensi!$C$5:$E$11, 3, TRUE) / 100, VLOOKUP(C24, Referensi!$C$5:$E$11, 3, TRUE)))</f>
        <v/>
      </c>
      <c r="E24" s="79" t="str">
        <f>IF(C24="", "", IF(VLOOKUP(C24, Referensi!$C$5:$F$11, 4, TRUE) &gt; 1, VLOOKUP(C24, Referensi!$C$5:$F$11, 4, TRUE) / 100, VLOOKUP(C24, Referensi!$C$5:$F$11, 4, TRUE)))</f>
        <v/>
      </c>
      <c r="F24" s="78">
        <v>18.0</v>
      </c>
      <c r="G24" s="80" t="str">
        <f t="shared" si="5"/>
        <v/>
      </c>
      <c r="H24" s="81" t="str">
        <f t="shared" si="6"/>
        <v/>
      </c>
      <c r="I24" s="80" t="str">
        <f t="shared" si="8"/>
        <v/>
      </c>
      <c r="J24" s="82">
        <f t="shared" si="1"/>
        <v>0</v>
      </c>
      <c r="K24" s="83">
        <f t="shared" si="2"/>
        <v>0</v>
      </c>
      <c r="L24" s="84"/>
      <c r="M24" s="83">
        <f t="shared" si="3"/>
        <v>0</v>
      </c>
      <c r="N24" s="83" t="str">
        <f t="shared" si="4"/>
        <v/>
      </c>
      <c r="O24" s="84"/>
      <c r="P24" s="84"/>
      <c r="Q24" s="84"/>
      <c r="R24" s="84"/>
      <c r="S24" s="84"/>
      <c r="T24" s="84"/>
      <c r="U24" s="86" t="s">
        <v>85</v>
      </c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46297.0</v>
      </c>
      <c r="B25" s="78">
        <v>13.0</v>
      </c>
      <c r="C25" s="84"/>
      <c r="D25" s="79" t="str">
        <f>IF(C25="", "", IF(VLOOKUP(C25, Referensi!$C$5:$E$11, 3, TRUE) &gt; 1, VLOOKUP(C25, Referensi!$C$5:$E$11, 3, TRUE) / 100, VLOOKUP(C25, Referensi!$C$5:$E$11, 3, TRUE)))</f>
        <v/>
      </c>
      <c r="E25" s="79" t="str">
        <f>IF(C25="", "", IF(VLOOKUP(C25, Referensi!$C$5:$F$11, 4, TRUE) &gt; 1, VLOOKUP(C25, Referensi!$C$5:$F$11, 4, TRUE) / 100, VLOOKUP(C25, Referensi!$C$5:$F$11, 4, TRUE)))</f>
        <v/>
      </c>
      <c r="F25" s="78">
        <v>26.0</v>
      </c>
      <c r="G25" s="80" t="str">
        <f t="shared" si="5"/>
        <v/>
      </c>
      <c r="H25" s="81" t="str">
        <f t="shared" si="6"/>
        <v/>
      </c>
      <c r="I25" s="80" t="str">
        <f t="shared" si="8"/>
        <v/>
      </c>
      <c r="J25" s="82">
        <f t="shared" si="1"/>
        <v>0</v>
      </c>
      <c r="K25" s="83">
        <f t="shared" si="2"/>
        <v>0</v>
      </c>
      <c r="L25" s="84"/>
      <c r="M25" s="83">
        <f t="shared" si="3"/>
        <v>0</v>
      </c>
      <c r="N25" s="83" t="str">
        <f t="shared" si="4"/>
        <v/>
      </c>
      <c r="O25" s="84"/>
      <c r="P25" s="84"/>
      <c r="Q25" s="84"/>
      <c r="R25" s="84"/>
      <c r="S25" s="84"/>
      <c r="T25" s="84"/>
      <c r="U25" s="85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46298.0</v>
      </c>
      <c r="B26" s="70">
        <v>14.0</v>
      </c>
      <c r="C26" s="76"/>
      <c r="D26" s="72" t="str">
        <f>IF(C26="", "", IF(VLOOKUP(C26, Referensi!$C$5:$E$11, 3, TRUE) &gt; 1, VLOOKUP(C26, Referensi!$C$5:$E$11, 3, TRUE) / 100, VLOOKUP(C26, Referensi!$C$5:$E$11, 3, TRUE)))</f>
        <v/>
      </c>
      <c r="E26" s="72" t="str">
        <f>IF(C26="", "", IF(VLOOKUP(C26, Referensi!$C$5:$F$11, 4, TRUE) &gt; 1, VLOOKUP(C26, Referensi!$C$5:$F$11, 4, TRUE) / 100, VLOOKUP(C26, Referensi!$C$5:$F$11, 4, TRUE)))</f>
        <v/>
      </c>
      <c r="F26" s="76"/>
      <c r="G26" s="73" t="str">
        <f t="shared" si="5"/>
        <v/>
      </c>
      <c r="H26" s="74" t="str">
        <f t="shared" si="6"/>
        <v/>
      </c>
      <c r="I26" s="73" t="str">
        <f t="shared" si="8"/>
        <v/>
      </c>
      <c r="J26" s="57">
        <f t="shared" si="1"/>
        <v>0</v>
      </c>
      <c r="K26" s="75">
        <f t="shared" si="2"/>
        <v>0</v>
      </c>
      <c r="L26" s="76"/>
      <c r="M26" s="75">
        <f t="shared" si="3"/>
        <v>0</v>
      </c>
      <c r="N26" s="75" t="str">
        <f t="shared" si="4"/>
        <v/>
      </c>
      <c r="O26" s="76"/>
      <c r="P26" s="76"/>
      <c r="Q26" s="76"/>
      <c r="R26" s="76"/>
      <c r="S26" s="76"/>
      <c r="T26" s="76"/>
      <c r="U26" s="77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69">
        <v>46299.0</v>
      </c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8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71" t="s">
        <v>85</v>
      </c>
      <c r="V27" s="1"/>
      <c r="W27" s="1"/>
      <c r="X27" s="1"/>
      <c r="Y27" s="1"/>
      <c r="Z27" s="1"/>
      <c r="AA27" s="1"/>
      <c r="AB27" s="1"/>
      <c r="AC27" s="1"/>
      <c r="AD27" s="1"/>
    </row>
    <row r="28">
      <c r="A28" s="69">
        <v>46300.0</v>
      </c>
      <c r="B28" s="7">
        <v>16.0</v>
      </c>
      <c r="C28" s="33"/>
      <c r="D28" s="56" t="str">
        <f>IF(C28="", "", IF(VLOOKUP(C28, Referensi!$C$5:$E$11, 3, TRUE) &gt; 1, VLOOKUP(C28, Referensi!$C$5:$E$11, 3, TRUE) / 100, VLOOKUP(C28, Referensi!$C$5:$E$11, 3, TRUE)))</f>
        <v/>
      </c>
      <c r="E28" s="56" t="str">
        <f>IF(C28="", "", IF(VLOOKUP(C28, Referensi!$C$5:$F$11, 4, TRUE) &gt; 1, VLOOKUP(C28, Referensi!$C$5:$F$11, 4, TRUE) / 100, VLOOKUP(C28, Referensi!$C$5:$F$11, 4, TRUE)))</f>
        <v/>
      </c>
      <c r="F28" s="33"/>
      <c r="G28" s="8" t="str">
        <f t="shared" si="5"/>
        <v/>
      </c>
      <c r="H28" s="38" t="str">
        <f t="shared" si="6"/>
        <v/>
      </c>
      <c r="I28" s="8" t="str">
        <f t="shared" si="8"/>
        <v/>
      </c>
      <c r="J28" s="57">
        <f t="shared" si="1"/>
        <v>0</v>
      </c>
      <c r="K28" s="58">
        <f t="shared" si="2"/>
        <v>0</v>
      </c>
      <c r="L28" s="33"/>
      <c r="M28" s="58">
        <f t="shared" si="3"/>
        <v>0</v>
      </c>
      <c r="N28" s="58" t="str">
        <f t="shared" si="4"/>
        <v/>
      </c>
      <c r="O28" s="33"/>
      <c r="P28" s="33"/>
      <c r="Q28" s="33"/>
      <c r="R28" s="33"/>
      <c r="S28" s="33"/>
      <c r="T28" s="33"/>
      <c r="U28" s="68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8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68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8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71" t="s">
        <v>85</v>
      </c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8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68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8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68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8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71" t="s">
        <v>85</v>
      </c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8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68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8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68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8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71" t="s">
        <v>85</v>
      </c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8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68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8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68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8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71" t="s">
        <v>85</v>
      </c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8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68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8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68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8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71" t="s">
        <v>85</v>
      </c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8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68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8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68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8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87" t="s">
        <v>85</v>
      </c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8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88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8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88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8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89" t="s">
        <v>85</v>
      </c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8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88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8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88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8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89" t="s">
        <v>85</v>
      </c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8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88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8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88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8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89" t="s">
        <v>85</v>
      </c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8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88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8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88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8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89" t="s">
        <v>85</v>
      </c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8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88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8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88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8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89" t="s">
        <v>85</v>
      </c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8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88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8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88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8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89" t="s">
        <v>85</v>
      </c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8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88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8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88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8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89" t="s">
        <v>85</v>
      </c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8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88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8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88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8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89" t="s">
        <v>85</v>
      </c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8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88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8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88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8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89" t="s">
        <v>85</v>
      </c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8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88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8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88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8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89" t="s">
        <v>85</v>
      </c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8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88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8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88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8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89" t="s">
        <v>85</v>
      </c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8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88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8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88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8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89" t="s">
        <v>85</v>
      </c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8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88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8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88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8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89" t="s">
        <v>85</v>
      </c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8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88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8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88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8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89" t="s">
        <v>85</v>
      </c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8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88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8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88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8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89" t="s">
        <v>85</v>
      </c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8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88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8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88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8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89" t="s">
        <v>85</v>
      </c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8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88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8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88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8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89" t="s">
        <v>85</v>
      </c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8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88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8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88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8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89" t="s">
        <v>85</v>
      </c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8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88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8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88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8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89" t="s">
        <v>85</v>
      </c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8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88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8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88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8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89" t="s">
        <v>85</v>
      </c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8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88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8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88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8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89" t="s">
        <v>85</v>
      </c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8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88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8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88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8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89" t="s">
        <v>85</v>
      </c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8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88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8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88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8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89" t="s">
        <v>85</v>
      </c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8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88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8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88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8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89" t="s">
        <v>85</v>
      </c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8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88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8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88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8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89" t="s">
        <v>85</v>
      </c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8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88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8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88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8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89" t="s">
        <v>85</v>
      </c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8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88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8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88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8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89" t="s">
        <v>85</v>
      </c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8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88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8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88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8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89" t="s">
        <v>85</v>
      </c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8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88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8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88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8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89" t="s">
        <v>85</v>
      </c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8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88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8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88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8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89" t="s">
        <v>85</v>
      </c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8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88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8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88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8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89" t="s">
        <v>85</v>
      </c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8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88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8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88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8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89" t="s">
        <v>85</v>
      </c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8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88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8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88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8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89" t="s">
        <v>85</v>
      </c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8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88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8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88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8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89" t="s">
        <v>85</v>
      </c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8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88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8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88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8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89" t="s">
        <v>85</v>
      </c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8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88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8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88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8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89" t="s">
        <v>85</v>
      </c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8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88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8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88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8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89" t="s">
        <v>85</v>
      </c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8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88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8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88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8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89" t="s">
        <v>85</v>
      </c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8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88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8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88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8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89" t="s">
        <v>85</v>
      </c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8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68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8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68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6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6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6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6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6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6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6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6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6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6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6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6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6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6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6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6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6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6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6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6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6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6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6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6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6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6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6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6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6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6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6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6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6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6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6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6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6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6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6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6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6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6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6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6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6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6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6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6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6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6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6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6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6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6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6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6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6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6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6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6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6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6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6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6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6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6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6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6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6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6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6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6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6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6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6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6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6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6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6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6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6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6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6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6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6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6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6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6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6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6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6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6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6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6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6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6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6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6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6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6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6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6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6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6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6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6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6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6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6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6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6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6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6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6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6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6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6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6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6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6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6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6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6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6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6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6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6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6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6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6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6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6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6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6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6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6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6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6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6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6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6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6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6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6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6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6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6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6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6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6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6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6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6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6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6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6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6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6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6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6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6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6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6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6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6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6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6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6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6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6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6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6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6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6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6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6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6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6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6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6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6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6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6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6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6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6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6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6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6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6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6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6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6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6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6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6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6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6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6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6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6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6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6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6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6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6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6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6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6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6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6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6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6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6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6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6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6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6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6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6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6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6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6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6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6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6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6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6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6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6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6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6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6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6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6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6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6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6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6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6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6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6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6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6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6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6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6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6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6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6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6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6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6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6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6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6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6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6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6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6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6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6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6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6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6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6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6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6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6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6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6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6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6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6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6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6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6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6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6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6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6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6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6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6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6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6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6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6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6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6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6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6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6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6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6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6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6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6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6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6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6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6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6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6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6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6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6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6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6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6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6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6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6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6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6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6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6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6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6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6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6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6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6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6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6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6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6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6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6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6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6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6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6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6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6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6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6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6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6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6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6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6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6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6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6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6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6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6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6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6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6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6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6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6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6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6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6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6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6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6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6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6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6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6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6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6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6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6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6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6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6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6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6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6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6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6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6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6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6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6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6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6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6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6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6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6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6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6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6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6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6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6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6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6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6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6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6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6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6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6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6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6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6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6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6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6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6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6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6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6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6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6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6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6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6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6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6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6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6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6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6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6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6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6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6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6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6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6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6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6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6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6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6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6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6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6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6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6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6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6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6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6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6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6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6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6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6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6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6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6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6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6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6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6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6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6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6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6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6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6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6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6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6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6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6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6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6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6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6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6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6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6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6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6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6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6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6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6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6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6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6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6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6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6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6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6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6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6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6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6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6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6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6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6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6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6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6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6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6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6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6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6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6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6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6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6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6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6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6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6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6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6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6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6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6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6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6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6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6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6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6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6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6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6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6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6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6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6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6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6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6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6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6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6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6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6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6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6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6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6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6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6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6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6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6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6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6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6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6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6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6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6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6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6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6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6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6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6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6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6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6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6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6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6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6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6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6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6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6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6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6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6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6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6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6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6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6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6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6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6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6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6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6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6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6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6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6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6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6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6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6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6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6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6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6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6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6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6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6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6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6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6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6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6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6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6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6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6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6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6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6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6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6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6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6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6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6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6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6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6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6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6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6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6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6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6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6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6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6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6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6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6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6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6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6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6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6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6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6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6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6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6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6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6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6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6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6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6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6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6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6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6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6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6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6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6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6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6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6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6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6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6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6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6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6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6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6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6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6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6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6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6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6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6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6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6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6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6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6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6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6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6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6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6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6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6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6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6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6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6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6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6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6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6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6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6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6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6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6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6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6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6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6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6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6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6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6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6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6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6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6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6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6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6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6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6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6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6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6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6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6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6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6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6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6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6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6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6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6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6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6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6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6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6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6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6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6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6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6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6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6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6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6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6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6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6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6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6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6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6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6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6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6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6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6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6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6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6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6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6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6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6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6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6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6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6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6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6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6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6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6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6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6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6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6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6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6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6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6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6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6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6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6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6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6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6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6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6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6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6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6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6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6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6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6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6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6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6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6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6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6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6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6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6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6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6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6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6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6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6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6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6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6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6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6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6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6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6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6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6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6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6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6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6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6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6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6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6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6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6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6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6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6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6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6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6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6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6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6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6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6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6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6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6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6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5">
    <mergeCell ref="B2:D2"/>
    <mergeCell ref="J2:K2"/>
    <mergeCell ref="B4:C4"/>
    <mergeCell ref="B5:C5"/>
    <mergeCell ref="B6:C6"/>
    <mergeCell ref="B7:C7"/>
    <mergeCell ref="M7:T7"/>
    <mergeCell ref="B8:C8"/>
    <mergeCell ref="B10:B11"/>
    <mergeCell ref="C10:C11"/>
    <mergeCell ref="D10:E10"/>
    <mergeCell ref="F10:F11"/>
    <mergeCell ref="G10:G11"/>
    <mergeCell ref="H10:H11"/>
    <mergeCell ref="R10:R11"/>
    <mergeCell ref="S10:S11"/>
    <mergeCell ref="T10:T11"/>
    <mergeCell ref="U10:U11"/>
    <mergeCell ref="I10:I11"/>
    <mergeCell ref="J10:K10"/>
    <mergeCell ref="L10:M10"/>
    <mergeCell ref="N10:N11"/>
    <mergeCell ref="O10:O11"/>
    <mergeCell ref="P10:P11"/>
    <mergeCell ref="Q10:Q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  <col customWidth="1" min="21" max="21" width="16.5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87</v>
      </c>
      <c r="E2" s="1"/>
      <c r="F2" s="37" t="s">
        <v>44</v>
      </c>
      <c r="G2" s="90">
        <v>46290.0</v>
      </c>
      <c r="H2" s="27"/>
      <c r="I2" s="32" t="s">
        <v>45</v>
      </c>
      <c r="J2" s="4" t="s">
        <v>81</v>
      </c>
      <c r="K2" s="6"/>
      <c r="L2" s="1"/>
      <c r="M2" s="34" t="s">
        <v>2</v>
      </c>
      <c r="N2" s="91" t="s">
        <v>88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1225.0</v>
      </c>
      <c r="E4" s="1"/>
      <c r="F4" s="37" t="s">
        <v>47</v>
      </c>
      <c r="G4" s="38">
        <f>C13*D4</f>
        <v>8575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91</v>
      </c>
      <c r="E5" s="1"/>
      <c r="F5" s="37" t="s">
        <v>50</v>
      </c>
      <c r="G5" s="42">
        <f>SUM(I13:I164)</f>
        <v>2525.965</v>
      </c>
      <c r="H5" s="27"/>
      <c r="I5" s="32" t="s">
        <v>51</v>
      </c>
      <c r="J5" s="43">
        <v>0.35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1134</v>
      </c>
      <c r="E6" s="1"/>
      <c r="F6" s="37" t="s">
        <v>53</v>
      </c>
      <c r="G6" s="64">
        <f>IFERROR(__xludf.DUMMYFUNCTION("IFERROR(CHOOSEROWS(FILTER(H13:H161, LEN(H13:H161) &gt; 0, H13:H161 &lt;&gt; 0), -1), ""Data Masih Kosong"")"),6822.0)</f>
        <v>6822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0.9257142857</v>
      </c>
      <c r="E7" s="1"/>
      <c r="F7" s="37" t="s">
        <v>56</v>
      </c>
      <c r="G7" s="11">
        <f>IFERROR(G5/(G6-G4),0)</f>
        <v>-1.440938391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341.1</v>
      </c>
      <c r="H8" s="27"/>
      <c r="I8" s="32" t="s">
        <v>58</v>
      </c>
      <c r="J8" s="46">
        <f>IFERROR(__xludf.DUMMYFUNCTION("IFERROR(CHOOSEROWS(FILTER(D13:D161, LEN(D13:D161) &gt; 0, D13:D161 &lt;&gt; 0), -1), 0)"),0.05)</f>
        <v>0.05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46290.0</v>
      </c>
      <c r="B13" s="70">
        <v>1.0</v>
      </c>
      <c r="C13" s="7">
        <v>7.0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0.0</v>
      </c>
      <c r="G13" s="8">
        <f>$D$4-F13</f>
        <v>1225</v>
      </c>
      <c r="H13" s="38">
        <f>C13*G13</f>
        <v>8575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46291.0</v>
      </c>
      <c r="B14" s="70">
        <v>2.0</v>
      </c>
      <c r="C14" s="7">
        <v>7.0</v>
      </c>
      <c r="D14" s="56">
        <f>IF(C14="", "", IF(VLOOKUP(C14, Referensi!$C$5:$E$11, 3, TRUE) &gt; 1, VLOOKUP(C14, Referensi!$C$5:$E$11, 3, TRUE) / 100, VLOOKUP(C14, Referensi!$C$5:$E$11, 3, TRUE)))</f>
        <v>0.05</v>
      </c>
      <c r="E14" s="56">
        <f>IF(C14="", "", IF(VLOOKUP(C14, Referensi!$C$5:$F$11, 4, TRUE) &gt; 1, VLOOKUP(C14, Referensi!$C$5:$F$11, 4, TRUE) / 100, VLOOKUP(C14, Referensi!$C$5:$F$11, 4, TRUE)))</f>
        <v>0.08</v>
      </c>
      <c r="F14" s="8">
        <v>11.0</v>
      </c>
      <c r="G14" s="8">
        <f t="shared" ref="G14:G164" si="5">IF(C14="","",G13-F14)</f>
        <v>1214</v>
      </c>
      <c r="H14" s="38">
        <f t="shared" ref="H14:H164" si="6">IF(C14="","", C14*G14)</f>
        <v>8498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8.77</v>
      </c>
      <c r="Q14" s="33"/>
      <c r="R14" s="7">
        <v>5.9</v>
      </c>
      <c r="S14" s="7">
        <v>31.1</v>
      </c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46292.0</v>
      </c>
      <c r="B15" s="7">
        <v>3.0</v>
      </c>
      <c r="C15" s="7">
        <v>7.0</v>
      </c>
      <c r="D15" s="56">
        <f>IF(C15="", "", IF(VLOOKUP(C15, Referensi!$C$5:$E$11, 3, TRUE) &gt; 1, VLOOKUP(C15, Referensi!$C$5:$E$11, 3, TRUE) / 100, VLOOKUP(C15, Referensi!$C$5:$E$11, 3, TRUE)))</f>
        <v>0.05</v>
      </c>
      <c r="E15" s="56">
        <f>IF(C15="", "", IF(VLOOKUP(C15, Referensi!$C$5:$F$11, 4, TRUE) &gt; 1, VLOOKUP(C15, Referensi!$C$5:$F$11, 4, TRUE) / 100, VLOOKUP(C15, Referensi!$C$5:$F$11, 4, TRUE)))</f>
        <v>0.08</v>
      </c>
      <c r="F15" s="8">
        <v>3.0</v>
      </c>
      <c r="G15" s="8">
        <f t="shared" si="5"/>
        <v>1211</v>
      </c>
      <c r="H15" s="38">
        <f t="shared" si="6"/>
        <v>8477</v>
      </c>
      <c r="I15" s="8">
        <f t="shared" ref="I15:I164" si="7">IF(C15=0,"",AVERAGE(D15:E15)*H15)</f>
        <v>551.005</v>
      </c>
      <c r="J15" s="57">
        <f t="shared" si="1"/>
        <v>27.55025</v>
      </c>
      <c r="K15" s="58">
        <f t="shared" si="2"/>
        <v>192.85175</v>
      </c>
      <c r="L15" s="33"/>
      <c r="M15" s="58">
        <f t="shared" si="3"/>
        <v>0</v>
      </c>
      <c r="N15" s="58">
        <f t="shared" si="4"/>
        <v>7</v>
      </c>
      <c r="O15" s="33"/>
      <c r="P15" s="7"/>
      <c r="Q15" s="33"/>
      <c r="R15" s="7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46293.0</v>
      </c>
      <c r="B16" s="7">
        <v>4.0</v>
      </c>
      <c r="C16" s="7">
        <v>7.0</v>
      </c>
      <c r="D16" s="56">
        <f>IF(C16="", "", IF(VLOOKUP(C16, Referensi!$C$5:$E$11, 3, TRUE) &gt; 1, VLOOKUP(C16, Referensi!$C$5:$E$11, 3, TRUE) / 100, VLOOKUP(C16, Referensi!$C$5:$E$11, 3, TRUE)))</f>
        <v>0.05</v>
      </c>
      <c r="E16" s="56">
        <f>IF(C16="", "", IF(VLOOKUP(C16, Referensi!$C$5:$F$11, 4, TRUE) &gt; 1, VLOOKUP(C16, Referensi!$C$5:$F$11, 4, TRUE) / 100, VLOOKUP(C16, Referensi!$C$5:$F$11, 4, TRUE)))</f>
        <v>0.08</v>
      </c>
      <c r="F16" s="8">
        <v>12.0</v>
      </c>
      <c r="G16" s="8">
        <f t="shared" si="5"/>
        <v>1199</v>
      </c>
      <c r="H16" s="38">
        <f t="shared" si="6"/>
        <v>8393</v>
      </c>
      <c r="I16" s="8">
        <f t="shared" si="7"/>
        <v>545.545</v>
      </c>
      <c r="J16" s="57">
        <f t="shared" si="1"/>
        <v>27.27725</v>
      </c>
      <c r="K16" s="58">
        <f t="shared" si="2"/>
        <v>190.94075</v>
      </c>
      <c r="L16" s="33"/>
      <c r="M16" s="58">
        <f t="shared" si="3"/>
        <v>0</v>
      </c>
      <c r="N16" s="58">
        <f t="shared" si="4"/>
        <v>7</v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46294.0</v>
      </c>
      <c r="B17" s="7">
        <v>5.0</v>
      </c>
      <c r="C17" s="7">
        <v>7.0</v>
      </c>
      <c r="D17" s="56">
        <f>IF(C17="", "", IF(VLOOKUP(C17, Referensi!$C$5:$E$11, 3, TRUE) &gt; 1, VLOOKUP(C17, Referensi!$C$5:$E$11, 3, TRUE) / 100, VLOOKUP(C17, Referensi!$C$5:$E$11, 3, TRUE)))</f>
        <v>0.05</v>
      </c>
      <c r="E17" s="56">
        <f>IF(C17="", "", IF(VLOOKUP(C17, Referensi!$C$5:$F$11, 4, TRUE) &gt; 1, VLOOKUP(C17, Referensi!$C$5:$F$11, 4, TRUE) / 100, VLOOKUP(C17, Referensi!$C$5:$F$11, 4, TRUE)))</f>
        <v>0.08</v>
      </c>
      <c r="F17" s="8">
        <v>22.0</v>
      </c>
      <c r="G17" s="8">
        <f t="shared" si="5"/>
        <v>1177</v>
      </c>
      <c r="H17" s="38">
        <f t="shared" si="6"/>
        <v>8239</v>
      </c>
      <c r="I17" s="8">
        <f t="shared" si="7"/>
        <v>535.535</v>
      </c>
      <c r="J17" s="57">
        <f t="shared" si="1"/>
        <v>26.77675</v>
      </c>
      <c r="K17" s="58">
        <f t="shared" si="2"/>
        <v>187.43725</v>
      </c>
      <c r="L17" s="33"/>
      <c r="M17" s="58">
        <f t="shared" si="3"/>
        <v>0</v>
      </c>
      <c r="N17" s="58">
        <f t="shared" si="4"/>
        <v>7</v>
      </c>
      <c r="O17" s="33"/>
      <c r="P17" s="7">
        <v>7.6</v>
      </c>
      <c r="Q17" s="33"/>
      <c r="R17" s="7">
        <v>6.6</v>
      </c>
      <c r="S17" s="7">
        <v>28.0</v>
      </c>
      <c r="T17" s="33"/>
      <c r="U17" s="7" t="s">
        <v>26</v>
      </c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46295.0</v>
      </c>
      <c r="B18" s="7">
        <v>6.0</v>
      </c>
      <c r="C18" s="7">
        <v>6.0</v>
      </c>
      <c r="D18" s="56">
        <f>IF(C18="", "", IF(VLOOKUP(C18, Referensi!$C$5:$E$11, 3, TRUE) &gt; 1, VLOOKUP(C18, Referensi!$C$5:$E$11, 3, TRUE) / 100, VLOOKUP(C18, Referensi!$C$5:$E$11, 3, TRUE)))</f>
        <v>0.05</v>
      </c>
      <c r="E18" s="56">
        <f>IF(C18="", "", IF(VLOOKUP(C18, Referensi!$C$5:$F$11, 4, TRUE) &gt; 1, VLOOKUP(C18, Referensi!$C$5:$F$11, 4, TRUE) / 100, VLOOKUP(C18, Referensi!$C$5:$F$11, 4, TRUE)))</f>
        <v>0.08</v>
      </c>
      <c r="F18" s="8">
        <v>22.0</v>
      </c>
      <c r="G18" s="8">
        <f t="shared" si="5"/>
        <v>1155</v>
      </c>
      <c r="H18" s="38">
        <f t="shared" si="6"/>
        <v>6930</v>
      </c>
      <c r="I18" s="8">
        <f t="shared" si="7"/>
        <v>450.45</v>
      </c>
      <c r="J18" s="57">
        <f t="shared" si="1"/>
        <v>22.5225</v>
      </c>
      <c r="K18" s="58">
        <f t="shared" si="2"/>
        <v>157.6575</v>
      </c>
      <c r="L18" s="33"/>
      <c r="M18" s="58">
        <f t="shared" si="3"/>
        <v>0</v>
      </c>
      <c r="N18" s="58">
        <f t="shared" si="4"/>
        <v>7</v>
      </c>
      <c r="O18" s="33"/>
      <c r="P18" s="33"/>
      <c r="Q18" s="33"/>
      <c r="R18" s="33"/>
      <c r="S18" s="33"/>
      <c r="T18" s="33"/>
      <c r="U18" s="7" t="s">
        <v>89</v>
      </c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46296.0</v>
      </c>
      <c r="B19" s="7">
        <v>7.0</v>
      </c>
      <c r="C19" s="7">
        <v>6.0</v>
      </c>
      <c r="D19" s="56">
        <f>IF(C19="", "", IF(VLOOKUP(C19, Referensi!$C$5:$E$11, 3, TRUE) &gt; 1, VLOOKUP(C19, Referensi!$C$5:$E$11, 3, TRUE) / 100, VLOOKUP(C19, Referensi!$C$5:$E$11, 3, TRUE)))</f>
        <v>0.05</v>
      </c>
      <c r="E19" s="56">
        <f>IF(C19="", "", IF(VLOOKUP(C19, Referensi!$C$5:$F$11, 4, TRUE) &gt; 1, VLOOKUP(C19, Referensi!$C$5:$F$11, 4, TRUE) / 100, VLOOKUP(C19, Referensi!$C$5:$F$11, 4, TRUE)))</f>
        <v>0.08</v>
      </c>
      <c r="F19" s="8">
        <v>18.0</v>
      </c>
      <c r="G19" s="8">
        <f t="shared" si="5"/>
        <v>1137</v>
      </c>
      <c r="H19" s="38">
        <f t="shared" si="6"/>
        <v>6822</v>
      </c>
      <c r="I19" s="8">
        <f t="shared" si="7"/>
        <v>443.43</v>
      </c>
      <c r="J19" s="57">
        <f t="shared" si="1"/>
        <v>22.1715</v>
      </c>
      <c r="K19" s="58">
        <f t="shared" si="2"/>
        <v>155.2005</v>
      </c>
      <c r="L19" s="33"/>
      <c r="M19" s="58">
        <f t="shared" si="3"/>
        <v>0</v>
      </c>
      <c r="N19" s="58">
        <f t="shared" si="4"/>
        <v>7</v>
      </c>
      <c r="O19" s="33"/>
      <c r="P19" s="33"/>
      <c r="Q19" s="33"/>
      <c r="R19" s="33"/>
      <c r="S19" s="33"/>
      <c r="T19" s="7">
        <f>654-38</f>
        <v>616</v>
      </c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46297.0</v>
      </c>
      <c r="B20" s="70">
        <v>8.0</v>
      </c>
      <c r="C20" s="76"/>
      <c r="D20" s="72" t="str">
        <f>IF(C20="", "", IF(VLOOKUP(C20, Referensi!$C$5:$E$11, 3, TRUE) &gt; 1, VLOOKUP(C20, Referensi!$C$5:$E$11, 3, TRUE) / 100, VLOOKUP(C20, Referensi!$C$5:$E$11, 3, TRUE)))</f>
        <v/>
      </c>
      <c r="E20" s="72" t="str">
        <f>IF(C20="", "", IF(VLOOKUP(C20, Referensi!$C$5:$F$11, 4, TRUE) &gt; 1, VLOOKUP(C20, Referensi!$C$5:$F$11, 4, TRUE) / 100, VLOOKUP(C20, Referensi!$C$5:$F$11, 4, TRUE)))</f>
        <v/>
      </c>
      <c r="F20" s="73">
        <v>3.0</v>
      </c>
      <c r="G20" s="73" t="str">
        <f t="shared" si="5"/>
        <v/>
      </c>
      <c r="H20" s="74" t="str">
        <f t="shared" si="6"/>
        <v/>
      </c>
      <c r="I20" s="73" t="str">
        <f t="shared" si="7"/>
        <v/>
      </c>
      <c r="J20" s="92">
        <f t="shared" si="1"/>
        <v>0</v>
      </c>
      <c r="K20" s="75">
        <f t="shared" si="2"/>
        <v>0</v>
      </c>
      <c r="L20" s="76"/>
      <c r="M20" s="75">
        <f t="shared" si="3"/>
        <v>0</v>
      </c>
      <c r="N20" s="75" t="str">
        <f t="shared" si="4"/>
        <v/>
      </c>
      <c r="O20" s="7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46298.0</v>
      </c>
      <c r="B21" s="7">
        <v>9.0</v>
      </c>
      <c r="C21" s="33"/>
      <c r="D21" s="56" t="str">
        <f>IF(C21="", "", IF(VLOOKUP(C21, Referensi!$C$5:$E$11, 3, TRUE) &gt; 1, VLOOKUP(C21, Referensi!$C$5:$E$11, 3, TRUE) / 100, VLOOKUP(C21, Referensi!$C$5:$E$11, 3, TRUE)))</f>
        <v/>
      </c>
      <c r="E21" s="56" t="str">
        <f>IF(C21="", "", IF(VLOOKUP(C21, Referensi!$C$5:$F$11, 4, TRUE) &gt; 1, VLOOKUP(C21, Referensi!$C$5:$F$11, 4, TRUE) / 100, VLOOKUP(C21, Referensi!$C$5:$F$11, 4, TRUE)))</f>
        <v/>
      </c>
      <c r="F21" s="38"/>
      <c r="G21" s="8" t="str">
        <f t="shared" si="5"/>
        <v/>
      </c>
      <c r="H21" s="38" t="str">
        <f t="shared" si="6"/>
        <v/>
      </c>
      <c r="I21" s="8" t="str">
        <f t="shared" si="7"/>
        <v/>
      </c>
      <c r="J21" s="57">
        <f t="shared" si="1"/>
        <v>0</v>
      </c>
      <c r="K21" s="58">
        <f t="shared" si="2"/>
        <v>0</v>
      </c>
      <c r="L21" s="33"/>
      <c r="M21" s="58">
        <f t="shared" si="3"/>
        <v>0</v>
      </c>
      <c r="N21" s="58" t="str">
        <f t="shared" si="4"/>
        <v/>
      </c>
      <c r="O21" s="33"/>
      <c r="P21" s="33"/>
      <c r="Q21" s="33"/>
      <c r="R21" s="33"/>
      <c r="S21" s="33"/>
      <c r="T21" s="33"/>
      <c r="U21" s="3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46299.0</v>
      </c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46300.0</v>
      </c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46301.0</v>
      </c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46302.0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46303.0</v>
      </c>
      <c r="B26" s="70">
        <v>14.0</v>
      </c>
      <c r="C26" s="76"/>
      <c r="D26" s="72" t="str">
        <f>IF(C26="", "", IF(VLOOKUP(C26, Referensi!$C$5:$E$11, 3, TRUE) &gt; 1, VLOOKUP(C26, Referensi!$C$5:$E$11, 3, TRUE) / 100, VLOOKUP(C26, Referensi!$C$5:$E$11, 3, TRUE)))</f>
        <v/>
      </c>
      <c r="E26" s="72" t="str">
        <f>IF(C26="", "", IF(VLOOKUP(C26, Referensi!$C$5:$F$11, 4, TRUE) &gt; 1, VLOOKUP(C26, Referensi!$C$5:$F$11, 4, TRUE) / 100, VLOOKUP(C26, Referensi!$C$5:$F$11, 4, TRUE)))</f>
        <v/>
      </c>
      <c r="F26" s="76"/>
      <c r="G26" s="73" t="str">
        <f t="shared" si="5"/>
        <v/>
      </c>
      <c r="H26" s="74" t="str">
        <f t="shared" si="6"/>
        <v/>
      </c>
      <c r="I26" s="73" t="str">
        <f t="shared" si="7"/>
        <v/>
      </c>
      <c r="J26" s="57">
        <f t="shared" si="1"/>
        <v>0</v>
      </c>
      <c r="K26" s="75">
        <f t="shared" si="2"/>
        <v>0</v>
      </c>
      <c r="L26" s="76"/>
      <c r="M26" s="75">
        <f t="shared" si="3"/>
        <v>0</v>
      </c>
      <c r="N26" s="75" t="str">
        <f t="shared" si="4"/>
        <v/>
      </c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">
        <v>16.0</v>
      </c>
      <c r="C28" s="33"/>
      <c r="D28" s="56" t="str">
        <f>IF(C28="", "", IF(VLOOKUP(C28, Referensi!$C$5:$E$11, 3, TRUE) &gt; 1, VLOOKUP(C28, Referensi!$C$5:$E$11, 3, TRUE) / 100, VLOOKUP(C28, Referensi!$C$5:$E$11, 3, TRUE)))</f>
        <v/>
      </c>
      <c r="E28" s="56" t="str">
        <f>IF(C28="", "", IF(VLOOKUP(C28, Referensi!$C$5:$F$11, 4, TRUE) &gt; 1, VLOOKUP(C28, Referensi!$C$5:$F$11, 4, TRUE) / 100, VLOOKUP(C28, Referensi!$C$5:$F$11, 4, TRUE)))</f>
        <v/>
      </c>
      <c r="F28" s="33"/>
      <c r="G28" s="8" t="str">
        <f t="shared" si="5"/>
        <v/>
      </c>
      <c r="H28" s="38" t="str">
        <f t="shared" si="6"/>
        <v/>
      </c>
      <c r="I28" s="8" t="str">
        <f t="shared" si="7"/>
        <v/>
      </c>
      <c r="J28" s="57">
        <f t="shared" si="1"/>
        <v>0</v>
      </c>
      <c r="K28" s="58">
        <f t="shared" si="2"/>
        <v>0</v>
      </c>
      <c r="L28" s="33"/>
      <c r="M28" s="58">
        <f t="shared" si="3"/>
        <v>0</v>
      </c>
      <c r="N28" s="58" t="str">
        <f t="shared" si="4"/>
        <v/>
      </c>
      <c r="O28" s="33"/>
      <c r="P28" s="33"/>
      <c r="Q28" s="33"/>
      <c r="R28" s="33"/>
      <c r="S28" s="33"/>
      <c r="T28" s="33"/>
      <c r="U28" s="33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90</v>
      </c>
      <c r="E2" s="1"/>
      <c r="F2" s="37" t="s">
        <v>44</v>
      </c>
      <c r="G2" s="7" t="s">
        <v>91</v>
      </c>
      <c r="H2" s="27"/>
      <c r="I2" s="32" t="s">
        <v>45</v>
      </c>
      <c r="J2" s="4" t="s">
        <v>92</v>
      </c>
      <c r="K2" s="6"/>
      <c r="L2" s="1"/>
      <c r="M2" s="34" t="s">
        <v>2</v>
      </c>
      <c r="N2" s="35" t="s">
        <v>36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1225.0</v>
      </c>
      <c r="E4" s="1"/>
      <c r="F4" s="37" t="s">
        <v>47</v>
      </c>
      <c r="G4" s="38">
        <f>C13*D4</f>
        <v>8575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248</v>
      </c>
      <c r="E5" s="1"/>
      <c r="F5" s="37" t="s">
        <v>50</v>
      </c>
      <c r="G5" s="42">
        <f>SUM(I13:I164)</f>
        <v>2860.895</v>
      </c>
      <c r="H5" s="27"/>
      <c r="I5" s="32" t="s">
        <v>51</v>
      </c>
      <c r="J5" s="43">
        <v>0.17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977</v>
      </c>
      <c r="E6" s="1"/>
      <c r="F6" s="37" t="s">
        <v>53</v>
      </c>
      <c r="G6" s="64">
        <f>IFERROR(__xludf.DUMMYFUNCTION("IFERROR(CHOOSEROWS(FILTER(H13:H161, LEN(H13:H161) &gt; 0, H13:H161 &lt;&gt; 0), -1), ""Data Masih Kosong"")"),5055.0)</f>
        <v>5055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0.7975510204</v>
      </c>
      <c r="E7" s="1"/>
      <c r="F7" s="37" t="s">
        <v>56</v>
      </c>
      <c r="G7" s="11">
        <f>IFERROR(G5/(G6-G4),0)</f>
        <v>-0.8127542614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404.4</v>
      </c>
      <c r="H8" s="27"/>
      <c r="I8" s="32" t="s">
        <v>58</v>
      </c>
      <c r="J8" s="46">
        <f>IFERROR(__xludf.DUMMYFUNCTION("IFERROR(CHOOSEROWS(FILTER(D13:D161, LEN(D13:D161) &gt; 0, D13:D161 &lt;&gt; 0), -1), 0)"),0.08)</f>
        <v>0.08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46289.0</v>
      </c>
      <c r="B13" s="70">
        <v>1.0</v>
      </c>
      <c r="C13" s="7">
        <v>7.0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24.0</v>
      </c>
      <c r="G13" s="8">
        <f>$D$4-F13</f>
        <v>1201</v>
      </c>
      <c r="H13" s="38">
        <f>C13*G13</f>
        <v>8407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46290.0</v>
      </c>
      <c r="B14" s="70">
        <v>2.0</v>
      </c>
      <c r="C14" s="7">
        <v>7.0</v>
      </c>
      <c r="D14" s="56">
        <f>IF(C14="", "", IF(VLOOKUP(C14, Referensi!$C$5:$E$11, 3, TRUE) &gt; 1, VLOOKUP(C14, Referensi!$C$5:$E$11, 3, TRUE) / 100, VLOOKUP(C14, Referensi!$C$5:$E$11, 3, TRUE)))</f>
        <v>0.05</v>
      </c>
      <c r="E14" s="56">
        <f>IF(C14="", "", IF(VLOOKUP(C14, Referensi!$C$5:$F$11, 4, TRUE) &gt; 1, VLOOKUP(C14, Referensi!$C$5:$F$11, 4, TRUE) / 100, VLOOKUP(C14, Referensi!$C$5:$F$11, 4, TRUE)))</f>
        <v>0.08</v>
      </c>
      <c r="F14" s="8">
        <v>44.0</v>
      </c>
      <c r="G14" s="8">
        <f t="shared" ref="G14:G164" si="5">IF(C14="","",G13-F14)</f>
        <v>1157</v>
      </c>
      <c r="H14" s="38">
        <f t="shared" ref="H14:H164" si="6">IF(C14="","", C14*G14)</f>
        <v>8099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8.6</v>
      </c>
      <c r="Q14" s="7">
        <v>6.3</v>
      </c>
      <c r="R14" s="7">
        <v>30.9</v>
      </c>
      <c r="S14" s="33"/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46291.0</v>
      </c>
      <c r="B15" s="7">
        <v>3.0</v>
      </c>
      <c r="C15" s="7">
        <v>7.0</v>
      </c>
      <c r="D15" s="56">
        <f>IF(C15="", "", IF(VLOOKUP(C15, Referensi!$C$5:$E$11, 3, TRUE) &gt; 1, VLOOKUP(C15, Referensi!$C$5:$E$11, 3, TRUE) / 100, VLOOKUP(C15, Referensi!$C$5:$E$11, 3, TRUE)))</f>
        <v>0.05</v>
      </c>
      <c r="E15" s="56">
        <f>IF(C15="", "", IF(VLOOKUP(C15, Referensi!$C$5:$F$11, 4, TRUE) &gt; 1, VLOOKUP(C15, Referensi!$C$5:$F$11, 4, TRUE) / 100, VLOOKUP(C15, Referensi!$C$5:$F$11, 4, TRUE)))</f>
        <v>0.08</v>
      </c>
      <c r="F15" s="8">
        <v>38.0</v>
      </c>
      <c r="G15" s="8">
        <f t="shared" si="5"/>
        <v>1119</v>
      </c>
      <c r="H15" s="38">
        <f t="shared" si="6"/>
        <v>7833</v>
      </c>
      <c r="I15" s="8">
        <f t="shared" ref="I15:I164" si="7">IF(C15=0,"",AVERAGE(D15:E15)*H15)</f>
        <v>509.145</v>
      </c>
      <c r="J15" s="57">
        <f t="shared" si="1"/>
        <v>25.45725</v>
      </c>
      <c r="K15" s="58">
        <f t="shared" si="2"/>
        <v>86.55465</v>
      </c>
      <c r="L15" s="33"/>
      <c r="M15" s="58">
        <f t="shared" si="3"/>
        <v>0</v>
      </c>
      <c r="N15" s="58">
        <f t="shared" si="4"/>
        <v>3.4</v>
      </c>
      <c r="O15" s="33"/>
      <c r="P15" s="7"/>
      <c r="Q15" s="33"/>
      <c r="R15" s="7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46292.0</v>
      </c>
      <c r="B16" s="7">
        <v>4.0</v>
      </c>
      <c r="C16" s="7">
        <v>7.0</v>
      </c>
      <c r="D16" s="56">
        <f>IF(C16="", "", IF(VLOOKUP(C16, Referensi!$C$5:$E$11, 3, TRUE) &gt; 1, VLOOKUP(C16, Referensi!$C$5:$E$11, 3, TRUE) / 100, VLOOKUP(C16, Referensi!$C$5:$E$11, 3, TRUE)))</f>
        <v>0.05</v>
      </c>
      <c r="E16" s="56">
        <f>IF(C16="", "", IF(VLOOKUP(C16, Referensi!$C$5:$F$11, 4, TRUE) &gt; 1, VLOOKUP(C16, Referensi!$C$5:$F$11, 4, TRUE) / 100, VLOOKUP(C16, Referensi!$C$5:$F$11, 4, TRUE)))</f>
        <v>0.08</v>
      </c>
      <c r="F16" s="8">
        <v>34.0</v>
      </c>
      <c r="G16" s="8">
        <f t="shared" si="5"/>
        <v>1085</v>
      </c>
      <c r="H16" s="38">
        <f t="shared" si="6"/>
        <v>7595</v>
      </c>
      <c r="I16" s="8">
        <f t="shared" si="7"/>
        <v>493.675</v>
      </c>
      <c r="J16" s="57">
        <f t="shared" si="1"/>
        <v>24.68375</v>
      </c>
      <c r="K16" s="58">
        <f t="shared" si="2"/>
        <v>83.92475</v>
      </c>
      <c r="L16" s="33"/>
      <c r="M16" s="58">
        <f t="shared" si="3"/>
        <v>0</v>
      </c>
      <c r="N16" s="58">
        <f t="shared" si="4"/>
        <v>3.4</v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46293.0</v>
      </c>
      <c r="B17" s="7">
        <v>5.0</v>
      </c>
      <c r="C17" s="7">
        <v>7.0</v>
      </c>
      <c r="D17" s="56">
        <f>IF(C17="", "", IF(VLOOKUP(C17, Referensi!$C$5:$E$11, 3, TRUE) &gt; 1, VLOOKUP(C17, Referensi!$C$5:$E$11, 3, TRUE) / 100, VLOOKUP(C17, Referensi!$C$5:$E$11, 3, TRUE)))</f>
        <v>0.05</v>
      </c>
      <c r="E17" s="56">
        <f>IF(C17="", "", IF(VLOOKUP(C17, Referensi!$C$5:$F$11, 4, TRUE) &gt; 1, VLOOKUP(C17, Referensi!$C$5:$F$11, 4, TRUE) / 100, VLOOKUP(C17, Referensi!$C$5:$F$11, 4, TRUE)))</f>
        <v>0.08</v>
      </c>
      <c r="F17" s="8">
        <v>45.0</v>
      </c>
      <c r="G17" s="8">
        <f t="shared" si="5"/>
        <v>1040</v>
      </c>
      <c r="H17" s="38">
        <f t="shared" si="6"/>
        <v>7280</v>
      </c>
      <c r="I17" s="8">
        <f t="shared" si="7"/>
        <v>473.2</v>
      </c>
      <c r="J17" s="57">
        <f t="shared" si="1"/>
        <v>23.66</v>
      </c>
      <c r="K17" s="58">
        <f t="shared" si="2"/>
        <v>80.444</v>
      </c>
      <c r="L17" s="33"/>
      <c r="M17" s="58">
        <f t="shared" si="3"/>
        <v>0</v>
      </c>
      <c r="N17" s="58">
        <f t="shared" si="4"/>
        <v>3.4</v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46294.0</v>
      </c>
      <c r="B18" s="7">
        <v>6.0</v>
      </c>
      <c r="C18" s="7">
        <v>7.0</v>
      </c>
      <c r="D18" s="56">
        <f>IF(C18="", "", IF(VLOOKUP(C18, Referensi!$C$5:$E$11, 3, TRUE) &gt; 1, VLOOKUP(C18, Referensi!$C$5:$E$11, 3, TRUE) / 100, VLOOKUP(C18, Referensi!$C$5:$E$11, 3, TRUE)))</f>
        <v>0.05</v>
      </c>
      <c r="E18" s="56">
        <f>IF(C18="", "", IF(VLOOKUP(C18, Referensi!$C$5:$F$11, 4, TRUE) &gt; 1, VLOOKUP(C18, Referensi!$C$5:$F$11, 4, TRUE) / 100, VLOOKUP(C18, Referensi!$C$5:$F$11, 4, TRUE)))</f>
        <v>0.08</v>
      </c>
      <c r="F18" s="8">
        <v>5.0</v>
      </c>
      <c r="G18" s="8">
        <f t="shared" si="5"/>
        <v>1035</v>
      </c>
      <c r="H18" s="38">
        <f t="shared" si="6"/>
        <v>7245</v>
      </c>
      <c r="I18" s="8">
        <f t="shared" si="7"/>
        <v>470.925</v>
      </c>
      <c r="J18" s="57">
        <f t="shared" si="1"/>
        <v>23.54625</v>
      </c>
      <c r="K18" s="58">
        <f t="shared" si="2"/>
        <v>80.05725</v>
      </c>
      <c r="L18" s="33"/>
      <c r="M18" s="58">
        <f t="shared" si="3"/>
        <v>0</v>
      </c>
      <c r="N18" s="58">
        <f t="shared" si="4"/>
        <v>3.4</v>
      </c>
      <c r="O18" s="33"/>
      <c r="P18" s="7">
        <v>7.5</v>
      </c>
      <c r="Q18" s="33"/>
      <c r="R18" s="7">
        <v>5.4</v>
      </c>
      <c r="S18" s="7">
        <v>30.0</v>
      </c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46295.0</v>
      </c>
      <c r="B19" s="7">
        <v>7.0</v>
      </c>
      <c r="C19" s="7">
        <v>5.0</v>
      </c>
      <c r="D19" s="56">
        <f>IF(C19="", "", IF(VLOOKUP(C19, Referensi!$C$5:$E$11, 3, TRUE) &gt; 1, VLOOKUP(C19, Referensi!$C$5:$E$11, 3, TRUE) / 100, VLOOKUP(C19, Referensi!$C$5:$E$11, 3, TRUE)))</f>
        <v>0.08</v>
      </c>
      <c r="E19" s="56">
        <f>IF(C19="", "", IF(VLOOKUP(C19, Referensi!$C$5:$F$11, 4, TRUE) &gt; 1, VLOOKUP(C19, Referensi!$C$5:$F$11, 4, TRUE) / 100, VLOOKUP(C19, Referensi!$C$5:$F$11, 4, TRUE)))</f>
        <v>0.1</v>
      </c>
      <c r="F19" s="8">
        <v>15.0</v>
      </c>
      <c r="G19" s="8">
        <f t="shared" si="5"/>
        <v>1020</v>
      </c>
      <c r="H19" s="38">
        <f t="shared" si="6"/>
        <v>5100</v>
      </c>
      <c r="I19" s="8">
        <f t="shared" si="7"/>
        <v>459</v>
      </c>
      <c r="J19" s="57">
        <f t="shared" si="1"/>
        <v>22.95</v>
      </c>
      <c r="K19" s="58">
        <f t="shared" si="2"/>
        <v>78.03</v>
      </c>
      <c r="L19" s="33"/>
      <c r="M19" s="58">
        <f t="shared" si="3"/>
        <v>0</v>
      </c>
      <c r="N19" s="58">
        <f t="shared" si="4"/>
        <v>3.4</v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46296.0</v>
      </c>
      <c r="B20" s="7">
        <v>8.0</v>
      </c>
      <c r="C20" s="7">
        <v>5.0</v>
      </c>
      <c r="D20" s="56">
        <f>IF(C20="", "", IF(VLOOKUP(C20, Referensi!$C$5:$E$11, 3, TRUE) &gt; 1, VLOOKUP(C20, Referensi!$C$5:$E$11, 3, TRUE) / 100, VLOOKUP(C20, Referensi!$C$5:$E$11, 3, TRUE)))</f>
        <v>0.08</v>
      </c>
      <c r="E20" s="56">
        <f>IF(C20="", "", IF(VLOOKUP(C20, Referensi!$C$5:$F$11, 4, TRUE) &gt; 1, VLOOKUP(C20, Referensi!$C$5:$F$11, 4, TRUE) / 100, VLOOKUP(C20, Referensi!$C$5:$F$11, 4, TRUE)))</f>
        <v>0.1</v>
      </c>
      <c r="F20" s="8">
        <v>9.0</v>
      </c>
      <c r="G20" s="8">
        <f t="shared" si="5"/>
        <v>1011</v>
      </c>
      <c r="H20" s="38">
        <f t="shared" si="6"/>
        <v>5055</v>
      </c>
      <c r="I20" s="8">
        <f t="shared" si="7"/>
        <v>454.95</v>
      </c>
      <c r="J20" s="57">
        <f t="shared" si="1"/>
        <v>22.7475</v>
      </c>
      <c r="K20" s="58">
        <f t="shared" si="2"/>
        <v>77.3415</v>
      </c>
      <c r="L20" s="33"/>
      <c r="M20" s="58">
        <f t="shared" si="3"/>
        <v>0</v>
      </c>
      <c r="N20" s="58">
        <f t="shared" si="4"/>
        <v>3.4</v>
      </c>
      <c r="O20" s="33"/>
      <c r="P20" s="33"/>
      <c r="Q20" s="33"/>
      <c r="R20" s="33"/>
      <c r="S20" s="33"/>
      <c r="T20" s="7">
        <f>370-50</f>
        <v>320</v>
      </c>
      <c r="U20" s="33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46297.0</v>
      </c>
      <c r="B21" s="70">
        <v>9.0</v>
      </c>
      <c r="C21" s="76"/>
      <c r="D21" s="72" t="str">
        <f>IF(C21="", "", IF(VLOOKUP(C21, Referensi!$C$5:$E$11, 3, TRUE) &gt; 1, VLOOKUP(C21, Referensi!$C$5:$E$11, 3, TRUE) / 100, VLOOKUP(C21, Referensi!$C$5:$E$11, 3, TRUE)))</f>
        <v/>
      </c>
      <c r="E21" s="72" t="str">
        <f>IF(C21="", "", IF(VLOOKUP(C21, Referensi!$C$5:$F$11, 4, TRUE) &gt; 1, VLOOKUP(C21, Referensi!$C$5:$F$11, 4, TRUE) / 100, VLOOKUP(C21, Referensi!$C$5:$F$11, 4, TRUE)))</f>
        <v/>
      </c>
      <c r="F21" s="73">
        <v>34.0</v>
      </c>
      <c r="G21" s="73" t="str">
        <f t="shared" si="5"/>
        <v/>
      </c>
      <c r="H21" s="74" t="str">
        <f t="shared" si="6"/>
        <v/>
      </c>
      <c r="I21" s="73" t="str">
        <f t="shared" si="7"/>
        <v/>
      </c>
      <c r="J21" s="92">
        <f t="shared" si="1"/>
        <v>0</v>
      </c>
      <c r="K21" s="75">
        <f t="shared" si="2"/>
        <v>0</v>
      </c>
      <c r="L21" s="76"/>
      <c r="M21" s="75">
        <f t="shared" si="3"/>
        <v>0</v>
      </c>
      <c r="N21" s="58" t="str">
        <f t="shared" si="4"/>
        <v/>
      </c>
      <c r="O21" s="7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46298.0</v>
      </c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46299.0</v>
      </c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46300.0</v>
      </c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46301.0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46302.0</v>
      </c>
      <c r="B26" s="7">
        <v>14.0</v>
      </c>
      <c r="C26" s="33"/>
      <c r="D26" s="56" t="str">
        <f>IF(C26="", "", IF(VLOOKUP(C26, Referensi!$C$5:$E$11, 3, TRUE) &gt; 1, VLOOKUP(C26, Referensi!$C$5:$E$11, 3, TRUE) / 100, VLOOKUP(C26, Referensi!$C$5:$E$11, 3, TRUE)))</f>
        <v/>
      </c>
      <c r="E26" s="56" t="str">
        <f>IF(C26="", "", IF(VLOOKUP(C26, Referensi!$C$5:$F$11, 4, TRUE) &gt; 1, VLOOKUP(C26, Referensi!$C$5:$F$11, 4, TRUE) / 100, VLOOKUP(C26, Referensi!$C$5:$F$11, 4, TRUE)))</f>
        <v/>
      </c>
      <c r="F26" s="33"/>
      <c r="G26" s="8" t="str">
        <f t="shared" si="5"/>
        <v/>
      </c>
      <c r="H26" s="38" t="str">
        <f t="shared" si="6"/>
        <v/>
      </c>
      <c r="I26" s="8" t="str">
        <f t="shared" si="7"/>
        <v/>
      </c>
      <c r="J26" s="57">
        <f t="shared" si="1"/>
        <v>0</v>
      </c>
      <c r="K26" s="58">
        <f t="shared" si="2"/>
        <v>0</v>
      </c>
      <c r="L26" s="33"/>
      <c r="M26" s="58">
        <f t="shared" si="3"/>
        <v>0</v>
      </c>
      <c r="N26" s="58" t="str">
        <f t="shared" si="4"/>
        <v/>
      </c>
      <c r="O26" s="33"/>
      <c r="P26" s="33"/>
      <c r="Q26" s="33"/>
      <c r="R26" s="33"/>
      <c r="S26" s="33"/>
      <c r="T26" s="33"/>
      <c r="U26" s="33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0">
        <v>16.0</v>
      </c>
      <c r="C28" s="76"/>
      <c r="D28" s="72" t="str">
        <f>IF(C28="", "", IF(VLOOKUP(C28, Referensi!$C$5:$E$11, 3, TRUE) &gt; 1, VLOOKUP(C28, Referensi!$C$5:$E$11, 3, TRUE) / 100, VLOOKUP(C28, Referensi!$C$5:$E$11, 3, TRUE)))</f>
        <v/>
      </c>
      <c r="E28" s="72" t="str">
        <f>IF(C28="", "", IF(VLOOKUP(C28, Referensi!$C$5:$F$11, 4, TRUE) &gt; 1, VLOOKUP(C28, Referensi!$C$5:$F$11, 4, TRUE) / 100, VLOOKUP(C28, Referensi!$C$5:$F$11, 4, TRUE)))</f>
        <v/>
      </c>
      <c r="F28" s="76"/>
      <c r="G28" s="73" t="str">
        <f t="shared" si="5"/>
        <v/>
      </c>
      <c r="H28" s="74" t="str">
        <f t="shared" si="6"/>
        <v/>
      </c>
      <c r="I28" s="73" t="str">
        <f t="shared" si="7"/>
        <v/>
      </c>
      <c r="J28" s="92">
        <f t="shared" si="1"/>
        <v>0</v>
      </c>
      <c r="K28" s="75">
        <f t="shared" si="2"/>
        <v>0</v>
      </c>
      <c r="L28" s="76"/>
      <c r="M28" s="75">
        <f t="shared" si="3"/>
        <v>0</v>
      </c>
      <c r="N28" s="58" t="str">
        <f t="shared" si="4"/>
        <v/>
      </c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6.25"/>
    <col customWidth="1" min="3" max="3" width="13.25"/>
    <col customWidth="1" min="4" max="4" width="11.5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93</v>
      </c>
      <c r="E2" s="1"/>
      <c r="F2" s="37" t="s">
        <v>44</v>
      </c>
      <c r="G2" s="93">
        <v>46289.0</v>
      </c>
      <c r="H2" s="27"/>
      <c r="I2" s="32" t="s">
        <v>45</v>
      </c>
      <c r="J2" s="4" t="s">
        <v>92</v>
      </c>
      <c r="K2" s="6"/>
      <c r="L2" s="1"/>
      <c r="M2" s="34" t="s">
        <v>2</v>
      </c>
      <c r="N2" s="91" t="s">
        <v>88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1451.0</v>
      </c>
      <c r="E4" s="1"/>
      <c r="F4" s="37" t="s">
        <v>47</v>
      </c>
      <c r="G4" s="38">
        <f>C13*D4</f>
        <v>8706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84</v>
      </c>
      <c r="E5" s="1"/>
      <c r="F5" s="37" t="s">
        <v>50</v>
      </c>
      <c r="G5" s="42">
        <f>SUM(I13:I164)</f>
        <v>3267.42</v>
      </c>
      <c r="H5" s="27"/>
      <c r="I5" s="32" t="s">
        <v>51</v>
      </c>
      <c r="J5" s="43">
        <v>0.35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1367</v>
      </c>
      <c r="E6" s="1"/>
      <c r="F6" s="37" t="s">
        <v>53</v>
      </c>
      <c r="G6" s="64">
        <f>IFERROR(__xludf.DUMMYFUNCTION("IFERROR(CHOOSEROWS(FILTER(H13:H161, LEN(H13:H161) &gt; 0, H13:H161 &lt;&gt; 0), -1), ""Data Masih Kosong"")"),8202.0)</f>
        <v>8202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0.9421088904</v>
      </c>
      <c r="E7" s="1"/>
      <c r="F7" s="37" t="s">
        <v>56</v>
      </c>
      <c r="G7" s="11">
        <f>IFERROR(G5/(G6-G4),0)</f>
        <v>-6.48297619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410.1</v>
      </c>
      <c r="H8" s="27"/>
      <c r="I8" s="32" t="s">
        <v>58</v>
      </c>
      <c r="J8" s="46">
        <f>IFERROR(__xludf.DUMMYFUNCTION("IFERROR(CHOOSEROWS(FILTER(D13:D161, LEN(D13:D161) &gt; 0, D13:D161 &lt;&gt; 0), -1), 0)"),0.05)</f>
        <v>0.05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46289.0</v>
      </c>
      <c r="B13" s="70">
        <v>1.0</v>
      </c>
      <c r="C13" s="7">
        <v>6.0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7.0</v>
      </c>
      <c r="G13" s="8">
        <f>$D$4-F13</f>
        <v>1444</v>
      </c>
      <c r="H13" s="38">
        <f>C13*G13</f>
        <v>8664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46290.0</v>
      </c>
      <c r="B14" s="70">
        <v>2.0</v>
      </c>
      <c r="C14" s="7">
        <v>6.0</v>
      </c>
      <c r="D14" s="56">
        <f>IF(C14="", "", IF(VLOOKUP(C14, Referensi!$C$5:$E$11, 3, TRUE) &gt; 1, VLOOKUP(C14, Referensi!$C$5:$E$11, 3, TRUE) / 100, VLOOKUP(C14, Referensi!$C$5:$E$11, 3, TRUE)))</f>
        <v>0.05</v>
      </c>
      <c r="E14" s="56">
        <f>IF(C14="", "", IF(VLOOKUP(C14, Referensi!$C$5:$F$11, 4, TRUE) &gt; 1, VLOOKUP(C14, Referensi!$C$5:$F$11, 4, TRUE) / 100, VLOOKUP(C14, Referensi!$C$5:$F$11, 4, TRUE)))</f>
        <v>0.08</v>
      </c>
      <c r="F14" s="8">
        <v>16.0</v>
      </c>
      <c r="G14" s="8">
        <f t="shared" ref="G14:G164" si="5">IF(C14="","",G13-F14)</f>
        <v>1428</v>
      </c>
      <c r="H14" s="38">
        <f t="shared" ref="H14:H164" si="6">IF(C14="","", C14*G14)</f>
        <v>8568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8.9</v>
      </c>
      <c r="Q14" s="33"/>
      <c r="R14" s="7">
        <v>6.5</v>
      </c>
      <c r="S14" s="7">
        <v>30.7</v>
      </c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46291.0</v>
      </c>
      <c r="B15" s="7">
        <v>3.0</v>
      </c>
      <c r="C15" s="7">
        <v>6.0</v>
      </c>
      <c r="D15" s="56">
        <f>IF(C15="", "", IF(VLOOKUP(C15, Referensi!$C$5:$E$11, 3, TRUE) &gt; 1, VLOOKUP(C15, Referensi!$C$5:$E$11, 3, TRUE) / 100, VLOOKUP(C15, Referensi!$C$5:$E$11, 3, TRUE)))</f>
        <v>0.05</v>
      </c>
      <c r="E15" s="56">
        <f>IF(C15="", "", IF(VLOOKUP(C15, Referensi!$C$5:$F$11, 4, TRUE) &gt; 1, VLOOKUP(C15, Referensi!$C$5:$F$11, 4, TRUE) / 100, VLOOKUP(C15, Referensi!$C$5:$F$11, 4, TRUE)))</f>
        <v>0.08</v>
      </c>
      <c r="F15" s="8">
        <v>17.0</v>
      </c>
      <c r="G15" s="8">
        <f t="shared" si="5"/>
        <v>1411</v>
      </c>
      <c r="H15" s="38">
        <f t="shared" si="6"/>
        <v>8466</v>
      </c>
      <c r="I15" s="8">
        <f t="shared" ref="I15:I164" si="7">IF(C15=0,"",AVERAGE(D15:E15)*H15)</f>
        <v>550.29</v>
      </c>
      <c r="J15" s="57">
        <f t="shared" si="1"/>
        <v>27.5145</v>
      </c>
      <c r="K15" s="58">
        <f t="shared" si="2"/>
        <v>192.6015</v>
      </c>
      <c r="L15" s="33"/>
      <c r="M15" s="58">
        <f t="shared" si="3"/>
        <v>0</v>
      </c>
      <c r="N15" s="58">
        <f t="shared" si="4"/>
        <v>7</v>
      </c>
      <c r="O15" s="33"/>
      <c r="P15" s="7"/>
      <c r="Q15" s="33"/>
      <c r="R15" s="7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46292.0</v>
      </c>
      <c r="B16" s="7">
        <v>4.0</v>
      </c>
      <c r="C16" s="7">
        <v>6.0</v>
      </c>
      <c r="D16" s="56">
        <f>IF(C16="", "", IF(VLOOKUP(C16, Referensi!$C$5:$E$11, 3, TRUE) &gt; 1, VLOOKUP(C16, Referensi!$C$5:$E$11, 3, TRUE) / 100, VLOOKUP(C16, Referensi!$C$5:$E$11, 3, TRUE)))</f>
        <v>0.05</v>
      </c>
      <c r="E16" s="56">
        <f>IF(C16="", "", IF(VLOOKUP(C16, Referensi!$C$5:$F$11, 4, TRUE) &gt; 1, VLOOKUP(C16, Referensi!$C$5:$F$11, 4, TRUE) / 100, VLOOKUP(C16, Referensi!$C$5:$F$11, 4, TRUE)))</f>
        <v>0.08</v>
      </c>
      <c r="F16" s="8">
        <v>0.0</v>
      </c>
      <c r="G16" s="8">
        <f t="shared" si="5"/>
        <v>1411</v>
      </c>
      <c r="H16" s="38">
        <f t="shared" si="6"/>
        <v>8466</v>
      </c>
      <c r="I16" s="8">
        <f t="shared" si="7"/>
        <v>550.29</v>
      </c>
      <c r="J16" s="57">
        <f t="shared" si="1"/>
        <v>27.5145</v>
      </c>
      <c r="K16" s="58">
        <f t="shared" si="2"/>
        <v>192.6015</v>
      </c>
      <c r="L16" s="33"/>
      <c r="M16" s="58">
        <f t="shared" si="3"/>
        <v>0</v>
      </c>
      <c r="N16" s="58">
        <f t="shared" si="4"/>
        <v>7</v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46293.0</v>
      </c>
      <c r="B17" s="7">
        <v>5.0</v>
      </c>
      <c r="C17" s="7">
        <v>6.0</v>
      </c>
      <c r="D17" s="56">
        <f>IF(C17="", "", IF(VLOOKUP(C17, Referensi!$C$5:$E$11, 3, TRUE) &gt; 1, VLOOKUP(C17, Referensi!$C$5:$E$11, 3, TRUE) / 100, VLOOKUP(C17, Referensi!$C$5:$E$11, 3, TRUE)))</f>
        <v>0.05</v>
      </c>
      <c r="E17" s="56">
        <f>IF(C17="", "", IF(VLOOKUP(C17, Referensi!$C$5:$F$11, 4, TRUE) &gt; 1, VLOOKUP(C17, Referensi!$C$5:$F$11, 4, TRUE) / 100, VLOOKUP(C17, Referensi!$C$5:$F$11, 4, TRUE)))</f>
        <v>0.08</v>
      </c>
      <c r="F17" s="8">
        <v>9.0</v>
      </c>
      <c r="G17" s="8">
        <f t="shared" si="5"/>
        <v>1402</v>
      </c>
      <c r="H17" s="38">
        <f t="shared" si="6"/>
        <v>8412</v>
      </c>
      <c r="I17" s="8">
        <f t="shared" si="7"/>
        <v>546.78</v>
      </c>
      <c r="J17" s="57">
        <f t="shared" si="1"/>
        <v>27.339</v>
      </c>
      <c r="K17" s="58">
        <f t="shared" si="2"/>
        <v>191.373</v>
      </c>
      <c r="L17" s="33"/>
      <c r="M17" s="58">
        <f t="shared" si="3"/>
        <v>0</v>
      </c>
      <c r="N17" s="58">
        <f t="shared" si="4"/>
        <v>7</v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46294.0</v>
      </c>
      <c r="B18" s="7">
        <v>6.0</v>
      </c>
      <c r="C18" s="7">
        <v>6.0</v>
      </c>
      <c r="D18" s="56">
        <f>IF(C18="", "", IF(VLOOKUP(C18, Referensi!$C$5:$E$11, 3, TRUE) &gt; 1, VLOOKUP(C18, Referensi!$C$5:$E$11, 3, TRUE) / 100, VLOOKUP(C18, Referensi!$C$5:$E$11, 3, TRUE)))</f>
        <v>0.05</v>
      </c>
      <c r="E18" s="56">
        <f>IF(C18="", "", IF(VLOOKUP(C18, Referensi!$C$5:$F$11, 4, TRUE) &gt; 1, VLOOKUP(C18, Referensi!$C$5:$F$11, 4, TRUE) / 100, VLOOKUP(C18, Referensi!$C$5:$F$11, 4, TRUE)))</f>
        <v>0.08</v>
      </c>
      <c r="F18" s="8">
        <v>3.0</v>
      </c>
      <c r="G18" s="8">
        <f t="shared" si="5"/>
        <v>1399</v>
      </c>
      <c r="H18" s="38">
        <f t="shared" si="6"/>
        <v>8394</v>
      </c>
      <c r="I18" s="8">
        <f t="shared" si="7"/>
        <v>545.61</v>
      </c>
      <c r="J18" s="57">
        <f t="shared" si="1"/>
        <v>27.2805</v>
      </c>
      <c r="K18" s="58">
        <f t="shared" si="2"/>
        <v>190.9635</v>
      </c>
      <c r="L18" s="33"/>
      <c r="M18" s="58">
        <f t="shared" si="3"/>
        <v>0</v>
      </c>
      <c r="N18" s="58">
        <f t="shared" si="4"/>
        <v>7</v>
      </c>
      <c r="O18" s="33"/>
      <c r="P18" s="7">
        <v>7.7</v>
      </c>
      <c r="Q18" s="33"/>
      <c r="R18" s="7">
        <v>5.6</v>
      </c>
      <c r="S18" s="7">
        <v>30.0</v>
      </c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46295.0</v>
      </c>
      <c r="B19" s="7">
        <v>7.0</v>
      </c>
      <c r="C19" s="7">
        <v>6.0</v>
      </c>
      <c r="D19" s="56">
        <f>IF(C19="", "", IF(VLOOKUP(C19, Referensi!$C$5:$E$11, 3, TRUE) &gt; 1, VLOOKUP(C19, Referensi!$C$5:$E$11, 3, TRUE) / 100, VLOOKUP(C19, Referensi!$C$5:$E$11, 3, TRUE)))</f>
        <v>0.05</v>
      </c>
      <c r="E19" s="56">
        <f>IF(C19="", "", IF(VLOOKUP(C19, Referensi!$C$5:$F$11, 4, TRUE) &gt; 1, VLOOKUP(C19, Referensi!$C$5:$F$11, 4, TRUE) / 100, VLOOKUP(C19, Referensi!$C$5:$F$11, 4, TRUE)))</f>
        <v>0.08</v>
      </c>
      <c r="F19" s="8">
        <v>11.0</v>
      </c>
      <c r="G19" s="8">
        <f t="shared" si="5"/>
        <v>1388</v>
      </c>
      <c r="H19" s="38">
        <f t="shared" si="6"/>
        <v>8328</v>
      </c>
      <c r="I19" s="8">
        <f t="shared" si="7"/>
        <v>541.32</v>
      </c>
      <c r="J19" s="57">
        <f t="shared" si="1"/>
        <v>27.066</v>
      </c>
      <c r="K19" s="58">
        <f t="shared" si="2"/>
        <v>189.462</v>
      </c>
      <c r="L19" s="33"/>
      <c r="M19" s="58">
        <f t="shared" si="3"/>
        <v>0</v>
      </c>
      <c r="N19" s="58">
        <f t="shared" si="4"/>
        <v>7</v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46296.0</v>
      </c>
      <c r="B20" s="70">
        <v>8.0</v>
      </c>
      <c r="C20" s="70">
        <v>0.0</v>
      </c>
      <c r="D20" s="72" t="str">
        <f>IF(C20="", "", IF(VLOOKUP(C20, Referensi!$C$5:$E$11, 3, TRUE) &gt; 1, VLOOKUP(C20, Referensi!$C$5:$E$11, 3, TRUE) / 100, VLOOKUP(C20, Referensi!$C$5:$E$11, 3, TRUE)))</f>
        <v>#N/A</v>
      </c>
      <c r="E20" s="72" t="str">
        <f>IF(C20="", "", IF(VLOOKUP(C20, Referensi!$C$5:$F$11, 4, TRUE) &gt; 1, VLOOKUP(C20, Referensi!$C$5:$F$11, 4, TRUE) / 100, VLOOKUP(C20, Referensi!$C$5:$F$11, 4, TRUE)))</f>
        <v>#N/A</v>
      </c>
      <c r="F20" s="73">
        <v>19.0</v>
      </c>
      <c r="G20" s="73">
        <f t="shared" si="5"/>
        <v>1369</v>
      </c>
      <c r="H20" s="74">
        <f t="shared" si="6"/>
        <v>0</v>
      </c>
      <c r="I20" s="73" t="str">
        <f t="shared" si="7"/>
        <v/>
      </c>
      <c r="J20" s="92">
        <f t="shared" si="1"/>
        <v>0</v>
      </c>
      <c r="K20" s="75">
        <f t="shared" si="2"/>
        <v>0</v>
      </c>
      <c r="L20" s="76"/>
      <c r="M20" s="75">
        <f t="shared" si="3"/>
        <v>0</v>
      </c>
      <c r="N20" s="75" t="str">
        <f t="shared" si="4"/>
        <v/>
      </c>
      <c r="O20" s="7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46297.0</v>
      </c>
      <c r="B21" s="7">
        <v>9.0</v>
      </c>
      <c r="C21" s="7">
        <v>6.0</v>
      </c>
      <c r="D21" s="56">
        <f>IF(C21="", "", IF(VLOOKUP(C21, Referensi!$C$5:$E$11, 3, TRUE) &gt; 1, VLOOKUP(C21, Referensi!$C$5:$E$11, 3, TRUE) / 100, VLOOKUP(C21, Referensi!$C$5:$E$11, 3, TRUE)))</f>
        <v>0.05</v>
      </c>
      <c r="E21" s="56">
        <f>IF(C21="", "", IF(VLOOKUP(C21, Referensi!$C$5:$F$11, 4, TRUE) &gt; 1, VLOOKUP(C21, Referensi!$C$5:$F$11, 4, TRUE) / 100, VLOOKUP(C21, Referensi!$C$5:$F$11, 4, TRUE)))</f>
        <v>0.08</v>
      </c>
      <c r="F21" s="8">
        <v>2.0</v>
      </c>
      <c r="G21" s="8">
        <f t="shared" si="5"/>
        <v>1367</v>
      </c>
      <c r="H21" s="38">
        <f t="shared" si="6"/>
        <v>8202</v>
      </c>
      <c r="I21" s="8">
        <f t="shared" si="7"/>
        <v>533.13</v>
      </c>
      <c r="J21" s="57">
        <f t="shared" si="1"/>
        <v>26.6565</v>
      </c>
      <c r="K21" s="58">
        <f t="shared" si="2"/>
        <v>186.5955</v>
      </c>
      <c r="L21" s="33"/>
      <c r="M21" s="58">
        <f t="shared" si="3"/>
        <v>0</v>
      </c>
      <c r="N21" s="58">
        <f t="shared" si="4"/>
        <v>7</v>
      </c>
      <c r="O21" s="33"/>
      <c r="P21" s="33"/>
      <c r="Q21" s="33"/>
      <c r="R21" s="33"/>
      <c r="S21" s="33"/>
      <c r="T21" s="7">
        <v>412.0</v>
      </c>
      <c r="U21" s="3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46298.0</v>
      </c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46299.0</v>
      </c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46300.0</v>
      </c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46301.0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46302.0</v>
      </c>
      <c r="B26" s="70">
        <v>14.0</v>
      </c>
      <c r="C26" s="76"/>
      <c r="D26" s="72" t="str">
        <f>IF(C26="", "", IF(VLOOKUP(C26, Referensi!$C$5:$E$11, 3, TRUE) &gt; 1, VLOOKUP(C26, Referensi!$C$5:$E$11, 3, TRUE) / 100, VLOOKUP(C26, Referensi!$C$5:$E$11, 3, TRUE)))</f>
        <v/>
      </c>
      <c r="E26" s="72" t="str">
        <f>IF(C26="", "", IF(VLOOKUP(C26, Referensi!$C$5:$F$11, 4, TRUE) &gt; 1, VLOOKUP(C26, Referensi!$C$5:$F$11, 4, TRUE) / 100, VLOOKUP(C26, Referensi!$C$5:$F$11, 4, TRUE)))</f>
        <v/>
      </c>
      <c r="F26" s="76"/>
      <c r="G26" s="73" t="str">
        <f t="shared" si="5"/>
        <v/>
      </c>
      <c r="H26" s="74" t="str">
        <f t="shared" si="6"/>
        <v/>
      </c>
      <c r="I26" s="73" t="str">
        <f t="shared" si="7"/>
        <v/>
      </c>
      <c r="J26" s="92">
        <f t="shared" si="1"/>
        <v>0</v>
      </c>
      <c r="K26" s="75">
        <f t="shared" si="2"/>
        <v>0</v>
      </c>
      <c r="L26" s="76"/>
      <c r="M26" s="75">
        <f t="shared" si="3"/>
        <v>0</v>
      </c>
      <c r="N26" s="75" t="str">
        <f t="shared" si="4"/>
        <v/>
      </c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">
        <v>16.0</v>
      </c>
      <c r="C28" s="33"/>
      <c r="D28" s="56" t="str">
        <f>IF(C28="", "", IF(VLOOKUP(C28, Referensi!$C$5:$E$11, 3, TRUE) &gt; 1, VLOOKUP(C28, Referensi!$C$5:$E$11, 3, TRUE) / 100, VLOOKUP(C28, Referensi!$C$5:$E$11, 3, TRUE)))</f>
        <v/>
      </c>
      <c r="E28" s="56" t="str">
        <f>IF(C28="", "", IF(VLOOKUP(C28, Referensi!$C$5:$F$11, 4, TRUE) &gt; 1, VLOOKUP(C28, Referensi!$C$5:$F$11, 4, TRUE) / 100, VLOOKUP(C28, Referensi!$C$5:$F$11, 4, TRUE)))</f>
        <v/>
      </c>
      <c r="F28" s="33"/>
      <c r="G28" s="8" t="str">
        <f t="shared" si="5"/>
        <v/>
      </c>
      <c r="H28" s="38" t="str">
        <f t="shared" si="6"/>
        <v/>
      </c>
      <c r="I28" s="8" t="str">
        <f t="shared" si="7"/>
        <v/>
      </c>
      <c r="J28" s="57">
        <f t="shared" si="1"/>
        <v>0</v>
      </c>
      <c r="K28" s="58">
        <f t="shared" si="2"/>
        <v>0</v>
      </c>
      <c r="L28" s="33"/>
      <c r="M28" s="58">
        <f t="shared" si="3"/>
        <v>0</v>
      </c>
      <c r="N28" s="58" t="str">
        <f t="shared" si="4"/>
        <v/>
      </c>
      <c r="O28" s="33"/>
      <c r="P28" s="33"/>
      <c r="Q28" s="33"/>
      <c r="R28" s="33"/>
      <c r="S28" s="33"/>
      <c r="T28" s="33"/>
      <c r="U28" s="33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  <col customWidth="1" min="21" max="21" width="25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27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94</v>
      </c>
      <c r="E2" s="1"/>
      <c r="F2" s="37" t="s">
        <v>44</v>
      </c>
      <c r="G2" s="7" t="s">
        <v>95</v>
      </c>
      <c r="H2" s="27"/>
      <c r="I2" s="32" t="s">
        <v>45</v>
      </c>
      <c r="J2" s="4" t="s">
        <v>81</v>
      </c>
      <c r="K2" s="6"/>
      <c r="L2" s="1"/>
      <c r="M2" s="34" t="s">
        <v>2</v>
      </c>
      <c r="N2" s="35">
        <v>781.0</v>
      </c>
      <c r="O2" s="63"/>
      <c r="P2" s="1"/>
      <c r="Q2" s="1"/>
      <c r="R2" s="1"/>
      <c r="S2" s="1"/>
      <c r="T2" s="27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27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5600.0</v>
      </c>
      <c r="E4" s="1"/>
      <c r="F4" s="37" t="s">
        <v>47</v>
      </c>
      <c r="G4" s="38">
        <f>C13*D4</f>
        <v>84000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34</v>
      </c>
      <c r="O4" s="1"/>
      <c r="P4" s="1"/>
      <c r="Q4" s="1"/>
      <c r="R4" s="1"/>
      <c r="S4" s="1"/>
      <c r="T4" s="27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657</v>
      </c>
      <c r="E5" s="1"/>
      <c r="F5" s="37" t="s">
        <v>50</v>
      </c>
      <c r="G5" s="44">
        <f>SUM(I13:I164)</f>
        <v>40999.215</v>
      </c>
      <c r="H5" s="27"/>
      <c r="I5" s="32" t="s">
        <v>51</v>
      </c>
      <c r="J5" s="43">
        <v>0.35</v>
      </c>
      <c r="K5" s="28"/>
      <c r="L5" s="1"/>
      <c r="M5" s="28"/>
      <c r="N5" s="1"/>
      <c r="O5" s="1"/>
      <c r="P5" s="1"/>
      <c r="Q5" s="1"/>
      <c r="R5" s="1"/>
      <c r="S5" s="1"/>
      <c r="T5" s="27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4943</v>
      </c>
      <c r="E6" s="1"/>
      <c r="F6" s="37" t="s">
        <v>53</v>
      </c>
      <c r="G6" s="64">
        <f>IFERROR(__xludf.DUMMYFUNCTION("IFERROR(CHOOSEROWS(FILTER(H13:H161, LEN(H13:H161) &gt; 0, H13:H161 &lt;&gt; 0), -1), ""Data Masih Kosong"")"),120384.0)</f>
        <v>120384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27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66">
        <f>D6/D4</f>
        <v>0.8826785714</v>
      </c>
      <c r="E7" s="1"/>
      <c r="F7" s="37" t="s">
        <v>56</v>
      </c>
      <c r="G7" s="11">
        <f>IFERROR(G5/(G6-G4),0)</f>
        <v>1.126847378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27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4815.36</v>
      </c>
      <c r="H8" s="27"/>
      <c r="I8" s="32" t="s">
        <v>58</v>
      </c>
      <c r="J8" s="46">
        <f>IFERROR(__xludf.DUMMYFUNCTION("IFERROR(CHOOSEROWS(FILTER(D13:D161, LEN(D13:D161) &gt; 0, D13:D161 &lt;&gt; 0), -1), 0)"),0.04)</f>
        <v>0.04</v>
      </c>
      <c r="K8" s="28"/>
      <c r="L8" s="1"/>
      <c r="M8" s="28"/>
      <c r="N8" s="1"/>
      <c r="O8" s="1"/>
      <c r="P8" s="1"/>
      <c r="Q8" s="1"/>
      <c r="R8" s="1"/>
      <c r="S8" s="1"/>
      <c r="T8" s="27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2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9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8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46285.0</v>
      </c>
      <c r="B13" s="70">
        <v>1.0</v>
      </c>
      <c r="C13" s="7">
        <v>15.0</v>
      </c>
      <c r="D13" s="56">
        <f>IF(C13="", "", IF(VLOOKUP(C13, Referensi!$C$5:$E$11, 3, TRUE) &gt; 1, VLOOKUP(C13, Referensi!$C$5:$E$11, 3, TRUE) / 100, VLOOKUP(C13, Referensi!$C$5:$E$11, 3, TRUE)))</f>
        <v>0.05</v>
      </c>
      <c r="E13" s="56">
        <f>IF(C13="", "", IF(VLOOKUP(C13, Referensi!$C$5:$F$11, 4, TRUE) &gt; 1, VLOOKUP(C13, Referensi!$C$5:$F$11, 4, TRUE) / 100, VLOOKUP(C13, Referensi!$C$5:$F$11, 4, TRUE)))</f>
        <v>0.08</v>
      </c>
      <c r="F13" s="8">
        <v>15.0</v>
      </c>
      <c r="G13" s="8">
        <f>$D$4-F13</f>
        <v>5585</v>
      </c>
      <c r="H13" s="38">
        <f>C13*G13</f>
        <v>83775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8"/>
      <c r="U13" s="7" t="s">
        <v>96</v>
      </c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46286.0</v>
      </c>
      <c r="B14" s="70">
        <v>2.0</v>
      </c>
      <c r="C14" s="7">
        <v>15.0</v>
      </c>
      <c r="D14" s="56">
        <f>IF(C14="", "", IF(VLOOKUP(C14, Referensi!$C$5:$E$11, 3, TRUE) &gt; 1, VLOOKUP(C14, Referensi!$C$5:$E$11, 3, TRUE) / 100, VLOOKUP(C14, Referensi!$C$5:$E$11, 3, TRUE)))</f>
        <v>0.05</v>
      </c>
      <c r="E14" s="56">
        <f>IF(C14="", "", IF(VLOOKUP(C14, Referensi!$C$5:$F$11, 4, TRUE) &gt; 1, VLOOKUP(C14, Referensi!$C$5:$F$11, 4, TRUE) / 100, VLOOKUP(C14, Referensi!$C$5:$F$11, 4, TRUE)))</f>
        <v>0.08</v>
      </c>
      <c r="F14" s="8">
        <v>12.0</v>
      </c>
      <c r="G14" s="8">
        <f t="shared" ref="G14:G164" si="5">IF(C14="","",G13-F14)</f>
        <v>5573</v>
      </c>
      <c r="H14" s="38">
        <f t="shared" ref="H14:H164" si="6">IF(C14="","", C14*G14)</f>
        <v>83595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7.7</v>
      </c>
      <c r="Q14" s="33"/>
      <c r="R14" s="7">
        <v>5.9</v>
      </c>
      <c r="S14" s="7">
        <v>29.1</v>
      </c>
      <c r="T14" s="38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46287.0</v>
      </c>
      <c r="B15" s="7">
        <v>3.0</v>
      </c>
      <c r="C15" s="7">
        <v>15.0</v>
      </c>
      <c r="D15" s="56">
        <f>IF(C15="", "", IF(VLOOKUP(C15, Referensi!$C$5:$E$11, 3, TRUE) &gt; 1, VLOOKUP(C15, Referensi!$C$5:$E$11, 3, TRUE) / 100, VLOOKUP(C15, Referensi!$C$5:$E$11, 3, TRUE)))</f>
        <v>0.05</v>
      </c>
      <c r="E15" s="56">
        <f>IF(C15="", "", IF(VLOOKUP(C15, Referensi!$C$5:$F$11, 4, TRUE) &gt; 1, VLOOKUP(C15, Referensi!$C$5:$F$11, 4, TRUE) / 100, VLOOKUP(C15, Referensi!$C$5:$F$11, 4, TRUE)))</f>
        <v>0.08</v>
      </c>
      <c r="F15" s="8">
        <v>28.0</v>
      </c>
      <c r="G15" s="8">
        <f t="shared" si="5"/>
        <v>5545</v>
      </c>
      <c r="H15" s="38">
        <f t="shared" si="6"/>
        <v>83175</v>
      </c>
      <c r="I15" s="8">
        <f>T15</f>
        <v>4267</v>
      </c>
      <c r="J15" s="57">
        <f t="shared" si="1"/>
        <v>213.35</v>
      </c>
      <c r="K15" s="58">
        <f t="shared" si="2"/>
        <v>1493.45</v>
      </c>
      <c r="L15" s="7"/>
      <c r="M15" s="58">
        <f t="shared" si="3"/>
        <v>0</v>
      </c>
      <c r="N15" s="58">
        <f t="shared" si="4"/>
        <v>7</v>
      </c>
      <c r="O15" s="33"/>
      <c r="P15" s="7"/>
      <c r="Q15" s="33"/>
      <c r="R15" s="7"/>
      <c r="S15" s="33"/>
      <c r="T15" s="8">
        <v>4267.0</v>
      </c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46288.0</v>
      </c>
      <c r="B16" s="7">
        <v>4.0</v>
      </c>
      <c r="C16" s="7">
        <v>15.0</v>
      </c>
      <c r="D16" s="56">
        <f>IF(C16="", "", IF(VLOOKUP(C16, Referensi!$C$5:$E$11, 3, TRUE) &gt; 1, VLOOKUP(C16, Referensi!$C$5:$E$11, 3, TRUE) / 100, VLOOKUP(C16, Referensi!$C$5:$E$11, 3, TRUE)))</f>
        <v>0.05</v>
      </c>
      <c r="E16" s="56">
        <f>IF(C16="", "", IF(VLOOKUP(C16, Referensi!$C$5:$F$11, 4, TRUE) &gt; 1, VLOOKUP(C16, Referensi!$C$5:$F$11, 4, TRUE) / 100, VLOOKUP(C16, Referensi!$C$5:$F$11, 4, TRUE)))</f>
        <v>0.08</v>
      </c>
      <c r="F16" s="8">
        <v>36.0</v>
      </c>
      <c r="G16" s="8">
        <f t="shared" si="5"/>
        <v>5509</v>
      </c>
      <c r="H16" s="38">
        <f t="shared" si="6"/>
        <v>82635</v>
      </c>
      <c r="I16" s="8">
        <f t="shared" ref="I16:I18" si="7">IF(C16=0,"",AVERAGE(D16:E16)*H16)</f>
        <v>5371.275</v>
      </c>
      <c r="J16" s="57">
        <f t="shared" si="1"/>
        <v>268.56375</v>
      </c>
      <c r="K16" s="58">
        <f t="shared" si="2"/>
        <v>1879.94625</v>
      </c>
      <c r="L16" s="33"/>
      <c r="M16" s="58">
        <f t="shared" si="3"/>
        <v>0</v>
      </c>
      <c r="N16" s="58">
        <f t="shared" si="4"/>
        <v>7</v>
      </c>
      <c r="O16" s="33"/>
      <c r="P16" s="33"/>
      <c r="Q16" s="33"/>
      <c r="R16" s="33"/>
      <c r="S16" s="33"/>
      <c r="T16" s="38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46289.0</v>
      </c>
      <c r="B17" s="7">
        <v>5.0</v>
      </c>
      <c r="C17" s="7">
        <v>15.0</v>
      </c>
      <c r="D17" s="56">
        <f>IF(C17="", "", IF(VLOOKUP(C17, Referensi!$C$5:$E$11, 3, TRUE) &gt; 1, VLOOKUP(C17, Referensi!$C$5:$E$11, 3, TRUE) / 100, VLOOKUP(C17, Referensi!$C$5:$E$11, 3, TRUE)))</f>
        <v>0.05</v>
      </c>
      <c r="E17" s="56">
        <f>IF(C17="", "", IF(VLOOKUP(C17, Referensi!$C$5:$F$11, 4, TRUE) &gt; 1, VLOOKUP(C17, Referensi!$C$5:$F$11, 4, TRUE) / 100, VLOOKUP(C17, Referensi!$C$5:$F$11, 4, TRUE)))</f>
        <v>0.08</v>
      </c>
      <c r="F17" s="8">
        <v>30.0</v>
      </c>
      <c r="G17" s="8">
        <f t="shared" si="5"/>
        <v>5479</v>
      </c>
      <c r="H17" s="38">
        <f t="shared" si="6"/>
        <v>82185</v>
      </c>
      <c r="I17" s="8">
        <f t="shared" si="7"/>
        <v>5342.025</v>
      </c>
      <c r="J17" s="57">
        <f t="shared" si="1"/>
        <v>267.10125</v>
      </c>
      <c r="K17" s="58">
        <f t="shared" si="2"/>
        <v>1869.70875</v>
      </c>
      <c r="L17" s="33"/>
      <c r="M17" s="58">
        <f t="shared" si="3"/>
        <v>0</v>
      </c>
      <c r="N17" s="58">
        <f t="shared" si="4"/>
        <v>7</v>
      </c>
      <c r="O17" s="33"/>
      <c r="P17" s="33"/>
      <c r="Q17" s="33"/>
      <c r="R17" s="33"/>
      <c r="S17" s="33"/>
      <c r="T17" s="38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46290.0</v>
      </c>
      <c r="B18" s="7">
        <v>6.0</v>
      </c>
      <c r="C18" s="7">
        <v>15.0</v>
      </c>
      <c r="D18" s="56">
        <f>IF(C18="", "", IF(VLOOKUP(C18, Referensi!$C$5:$E$11, 3, TRUE) &gt; 1, VLOOKUP(C18, Referensi!$C$5:$E$11, 3, TRUE) / 100, VLOOKUP(C18, Referensi!$C$5:$E$11, 3, TRUE)))</f>
        <v>0.05</v>
      </c>
      <c r="E18" s="56">
        <f>IF(C18="", "", IF(VLOOKUP(C18, Referensi!$C$5:$F$11, 4, TRUE) &gt; 1, VLOOKUP(C18, Referensi!$C$5:$F$11, 4, TRUE) / 100, VLOOKUP(C18, Referensi!$C$5:$F$11, 4, TRUE)))</f>
        <v>0.08</v>
      </c>
      <c r="F18" s="8">
        <v>94.0</v>
      </c>
      <c r="G18" s="8">
        <f t="shared" si="5"/>
        <v>5385</v>
      </c>
      <c r="H18" s="38">
        <f t="shared" si="6"/>
        <v>80775</v>
      </c>
      <c r="I18" s="8">
        <f t="shared" si="7"/>
        <v>5250.375</v>
      </c>
      <c r="J18" s="57">
        <f t="shared" si="1"/>
        <v>262.51875</v>
      </c>
      <c r="K18" s="58">
        <f t="shared" si="2"/>
        <v>1837.63125</v>
      </c>
      <c r="L18" s="33"/>
      <c r="M18" s="58">
        <f t="shared" si="3"/>
        <v>0</v>
      </c>
      <c r="N18" s="58">
        <f t="shared" si="4"/>
        <v>7</v>
      </c>
      <c r="O18" s="33"/>
      <c r="P18" s="33"/>
      <c r="Q18" s="33"/>
      <c r="R18" s="33"/>
      <c r="S18" s="33"/>
      <c r="T18" s="38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46291.0</v>
      </c>
      <c r="B19" s="7">
        <v>7.0</v>
      </c>
      <c r="C19" s="7">
        <v>15.0</v>
      </c>
      <c r="D19" s="56">
        <f>IF(C19="", "", IF(VLOOKUP(C19, Referensi!$C$5:$E$11, 3, TRUE) &gt; 1, VLOOKUP(C19, Referensi!$C$5:$E$11, 3, TRUE) / 100, VLOOKUP(C19, Referensi!$C$5:$E$11, 3, TRUE)))</f>
        <v>0.05</v>
      </c>
      <c r="E19" s="56">
        <f>IF(C19="", "", IF(VLOOKUP(C19, Referensi!$C$5:$F$11, 4, TRUE) &gt; 1, VLOOKUP(C19, Referensi!$C$5:$F$11, 4, TRUE) / 100, VLOOKUP(C19, Referensi!$C$5:$F$11, 4, TRUE)))</f>
        <v>0.08</v>
      </c>
      <c r="F19" s="8">
        <v>48.0</v>
      </c>
      <c r="G19" s="8">
        <f t="shared" si="5"/>
        <v>5337</v>
      </c>
      <c r="H19" s="38">
        <f t="shared" si="6"/>
        <v>80055</v>
      </c>
      <c r="I19" s="8">
        <f>T19</f>
        <v>2133.5</v>
      </c>
      <c r="J19" s="57">
        <f t="shared" si="1"/>
        <v>106.675</v>
      </c>
      <c r="K19" s="58">
        <f t="shared" si="2"/>
        <v>746.725</v>
      </c>
      <c r="L19" s="33"/>
      <c r="M19" s="58">
        <f t="shared" si="3"/>
        <v>0</v>
      </c>
      <c r="N19" s="58">
        <f t="shared" si="4"/>
        <v>7</v>
      </c>
      <c r="O19" s="33"/>
      <c r="P19" s="33"/>
      <c r="Q19" s="33"/>
      <c r="R19" s="33"/>
      <c r="S19" s="33"/>
      <c r="T19" s="38">
        <f>50%*I15</f>
        <v>2133.5</v>
      </c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46292.0</v>
      </c>
      <c r="B20" s="7">
        <v>8.0</v>
      </c>
      <c r="C20" s="7">
        <v>15.0</v>
      </c>
      <c r="D20" s="56">
        <f>IF(C20="", "", IF(VLOOKUP(C20, Referensi!$C$5:$E$11, 3, TRUE) &gt; 1, VLOOKUP(C20, Referensi!$C$5:$E$11, 3, TRUE) / 100, VLOOKUP(C20, Referensi!$C$5:$E$11, 3, TRUE)))</f>
        <v>0.05</v>
      </c>
      <c r="E20" s="56">
        <f>IF(C20="", "", IF(VLOOKUP(C20, Referensi!$C$5:$F$11, 4, TRUE) &gt; 1, VLOOKUP(C20, Referensi!$C$5:$F$11, 4, TRUE) / 100, VLOOKUP(C20, Referensi!$C$5:$F$11, 4, TRUE)))</f>
        <v>0.08</v>
      </c>
      <c r="F20" s="8">
        <v>73.0</v>
      </c>
      <c r="G20" s="8">
        <f t="shared" si="5"/>
        <v>5264</v>
      </c>
      <c r="H20" s="38">
        <f t="shared" si="6"/>
        <v>78960</v>
      </c>
      <c r="I20" s="8">
        <f>IF(C20=0,"",D20*H20)</f>
        <v>3948</v>
      </c>
      <c r="J20" s="57">
        <f t="shared" si="1"/>
        <v>197.4</v>
      </c>
      <c r="K20" s="58">
        <f t="shared" si="2"/>
        <v>1381.8</v>
      </c>
      <c r="L20" s="33"/>
      <c r="M20" s="58">
        <f t="shared" si="3"/>
        <v>0</v>
      </c>
      <c r="N20" s="58">
        <f t="shared" si="4"/>
        <v>7</v>
      </c>
      <c r="O20" s="33"/>
      <c r="P20" s="33"/>
      <c r="Q20" s="33"/>
      <c r="R20" s="33"/>
      <c r="S20" s="33"/>
      <c r="T20" s="38"/>
      <c r="U20" s="33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46293.0</v>
      </c>
      <c r="B21" s="70">
        <v>9.0</v>
      </c>
      <c r="C21" s="70">
        <v>24.0</v>
      </c>
      <c r="D21" s="72">
        <f>IF(C21="", "", IF(VLOOKUP(C21, Referensi!$C$5:$E$11, 3, TRUE) &gt; 1, VLOOKUP(C21, Referensi!$C$5:$E$11, 3, TRUE) / 100, VLOOKUP(C21, Referensi!$C$5:$E$11, 3, TRUE)))</f>
        <v>0.04</v>
      </c>
      <c r="E21" s="72">
        <f>IF(C21="", "", IF(VLOOKUP(C21, Referensi!$C$5:$F$11, 4, TRUE) &gt; 1, VLOOKUP(C21, Referensi!$C$5:$F$11, 4, TRUE) / 100, VLOOKUP(C21, Referensi!$C$5:$F$11, 4, TRUE)))</f>
        <v>0.05</v>
      </c>
      <c r="F21" s="73">
        <v>33.0</v>
      </c>
      <c r="G21" s="73">
        <f t="shared" si="5"/>
        <v>5231</v>
      </c>
      <c r="H21" s="74">
        <f t="shared" si="6"/>
        <v>125544</v>
      </c>
      <c r="I21" s="73">
        <v>0.0</v>
      </c>
      <c r="J21" s="92">
        <f t="shared" si="1"/>
        <v>0</v>
      </c>
      <c r="K21" s="75">
        <f t="shared" si="2"/>
        <v>0</v>
      </c>
      <c r="L21" s="76"/>
      <c r="M21" s="75">
        <f t="shared" si="3"/>
        <v>0</v>
      </c>
      <c r="N21" s="75" t="str">
        <f t="shared" si="4"/>
        <v/>
      </c>
      <c r="O21" s="76"/>
      <c r="P21" s="76"/>
      <c r="Q21" s="76"/>
      <c r="R21" s="76"/>
      <c r="S21" s="76"/>
      <c r="T21" s="74"/>
      <c r="U21" s="76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46294.0</v>
      </c>
      <c r="B22" s="7">
        <v>10.0</v>
      </c>
      <c r="C22" s="7">
        <v>24.0</v>
      </c>
      <c r="D22" s="56">
        <f>IF(C22="", "", IF(VLOOKUP(C22, Referensi!$C$5:$E$11, 3, TRUE) &gt; 1, VLOOKUP(C22, Referensi!$C$5:$E$11, 3, TRUE) / 100, VLOOKUP(C22, Referensi!$C$5:$E$11, 3, TRUE)))</f>
        <v>0.04</v>
      </c>
      <c r="E22" s="56">
        <f>IF(C22="", "", IF(VLOOKUP(C22, Referensi!$C$5:$F$11, 4, TRUE) &gt; 1, VLOOKUP(C22, Referensi!$C$5:$F$11, 4, TRUE) / 100, VLOOKUP(C22, Referensi!$C$5:$F$11, 4, TRUE)))</f>
        <v>0.05</v>
      </c>
      <c r="F22" s="8">
        <v>63.0</v>
      </c>
      <c r="G22" s="8">
        <f t="shared" si="5"/>
        <v>5168</v>
      </c>
      <c r="H22" s="38">
        <f t="shared" si="6"/>
        <v>124032</v>
      </c>
      <c r="I22" s="8">
        <f t="shared" ref="I22:I164" si="8">IF(C22=0,"",D22*H22)</f>
        <v>4961.28</v>
      </c>
      <c r="J22" s="57">
        <f t="shared" si="1"/>
        <v>248.064</v>
      </c>
      <c r="K22" s="58">
        <f t="shared" si="2"/>
        <v>1736.448</v>
      </c>
      <c r="L22" s="7">
        <v>2000.0</v>
      </c>
      <c r="M22" s="58">
        <f t="shared" si="3"/>
        <v>740</v>
      </c>
      <c r="N22" s="58">
        <f t="shared" si="4"/>
        <v>9.983101135</v>
      </c>
      <c r="O22" s="33"/>
      <c r="P22" s="7">
        <v>7.6</v>
      </c>
      <c r="Q22" s="33"/>
      <c r="R22" s="7">
        <v>5.1</v>
      </c>
      <c r="S22" s="7">
        <v>29.0</v>
      </c>
      <c r="T22" s="38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46295.0</v>
      </c>
      <c r="B23" s="78">
        <v>11.0</v>
      </c>
      <c r="C23" s="78">
        <v>24.0</v>
      </c>
      <c r="D23" s="79">
        <f>IF(C23="", "", IF(VLOOKUP(C23, Referensi!$C$5:$E$11, 3, TRUE) &gt; 1, VLOOKUP(C23, Referensi!$C$5:$E$11, 3, TRUE) / 100, VLOOKUP(C23, Referensi!$C$5:$E$11, 3, TRUE)))</f>
        <v>0.04</v>
      </c>
      <c r="E23" s="79">
        <f>IF(C23="", "", IF(VLOOKUP(C23, Referensi!$C$5:$F$11, 4, TRUE) &gt; 1, VLOOKUP(C23, Referensi!$C$5:$F$11, 4, TRUE) / 100, VLOOKUP(C23, Referensi!$C$5:$F$11, 4, TRUE)))</f>
        <v>0.05</v>
      </c>
      <c r="F23" s="80">
        <v>53.0</v>
      </c>
      <c r="G23" s="80">
        <f t="shared" si="5"/>
        <v>5115</v>
      </c>
      <c r="H23" s="81">
        <f t="shared" si="6"/>
        <v>122760</v>
      </c>
      <c r="I23" s="80">
        <f t="shared" si="8"/>
        <v>4910.4</v>
      </c>
      <c r="J23" s="82">
        <f t="shared" si="1"/>
        <v>245.52</v>
      </c>
      <c r="K23" s="83">
        <f t="shared" si="2"/>
        <v>1718.64</v>
      </c>
      <c r="L23" s="84"/>
      <c r="M23" s="83">
        <f t="shared" si="3"/>
        <v>0</v>
      </c>
      <c r="N23" s="83">
        <f t="shared" si="4"/>
        <v>7</v>
      </c>
      <c r="O23" s="84"/>
      <c r="P23" s="84"/>
      <c r="Q23" s="84"/>
      <c r="R23" s="84"/>
      <c r="S23" s="84"/>
      <c r="T23" s="81"/>
      <c r="U23" s="84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46296.0</v>
      </c>
      <c r="B24" s="78">
        <v>12.0</v>
      </c>
      <c r="C24" s="78">
        <v>24.0</v>
      </c>
      <c r="D24" s="79">
        <f>IF(C24="", "", IF(VLOOKUP(C24, Referensi!$C$5:$E$11, 3, TRUE) &gt; 1, VLOOKUP(C24, Referensi!$C$5:$E$11, 3, TRUE) / 100, VLOOKUP(C24, Referensi!$C$5:$E$11, 3, TRUE)))</f>
        <v>0.04</v>
      </c>
      <c r="E24" s="79">
        <f>IF(C24="", "", IF(VLOOKUP(C24, Referensi!$C$5:$F$11, 4, TRUE) &gt; 1, VLOOKUP(C24, Referensi!$C$5:$F$11, 4, TRUE) / 100, VLOOKUP(C24, Referensi!$C$5:$F$11, 4, TRUE)))</f>
        <v>0.05</v>
      </c>
      <c r="F24" s="78">
        <v>99.0</v>
      </c>
      <c r="G24" s="80">
        <f t="shared" si="5"/>
        <v>5016</v>
      </c>
      <c r="H24" s="81">
        <f t="shared" si="6"/>
        <v>120384</v>
      </c>
      <c r="I24" s="80">
        <f t="shared" si="8"/>
        <v>4815.36</v>
      </c>
      <c r="J24" s="82">
        <f t="shared" si="1"/>
        <v>240.768</v>
      </c>
      <c r="K24" s="83">
        <f t="shared" si="2"/>
        <v>1685.376</v>
      </c>
      <c r="L24" s="84"/>
      <c r="M24" s="83">
        <f t="shared" si="3"/>
        <v>0</v>
      </c>
      <c r="N24" s="83">
        <f t="shared" si="4"/>
        <v>7</v>
      </c>
      <c r="O24" s="84"/>
      <c r="P24" s="84"/>
      <c r="Q24" s="84"/>
      <c r="R24" s="84"/>
      <c r="S24" s="84"/>
      <c r="T24" s="81"/>
      <c r="U24" s="84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46297.0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7">
        <v>73.0</v>
      </c>
      <c r="G25" s="8" t="str">
        <f t="shared" si="5"/>
        <v/>
      </c>
      <c r="H25" s="38" t="str">
        <f t="shared" si="6"/>
        <v/>
      </c>
      <c r="I25" s="8" t="str">
        <f t="shared" si="8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8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46298.0</v>
      </c>
      <c r="B26" s="7">
        <v>14.0</v>
      </c>
      <c r="C26" s="33"/>
      <c r="D26" s="56" t="str">
        <f>IF(C26="", "", IF(VLOOKUP(C26, Referensi!$C$5:$E$11, 3, TRUE) &gt; 1, VLOOKUP(C26, Referensi!$C$5:$E$11, 3, TRUE) / 100, VLOOKUP(C26, Referensi!$C$5:$E$11, 3, TRUE)))</f>
        <v/>
      </c>
      <c r="E26" s="56" t="str">
        <f>IF(C26="", "", IF(VLOOKUP(C26, Referensi!$C$5:$F$11, 4, TRUE) &gt; 1, VLOOKUP(C26, Referensi!$C$5:$F$11, 4, TRUE) / 100, VLOOKUP(C26, Referensi!$C$5:$F$11, 4, TRUE)))</f>
        <v/>
      </c>
      <c r="F26" s="33"/>
      <c r="G26" s="8" t="str">
        <f t="shared" si="5"/>
        <v/>
      </c>
      <c r="H26" s="38" t="str">
        <f t="shared" si="6"/>
        <v/>
      </c>
      <c r="I26" s="8" t="str">
        <f t="shared" si="8"/>
        <v/>
      </c>
      <c r="J26" s="57">
        <f t="shared" si="1"/>
        <v>0</v>
      </c>
      <c r="K26" s="58">
        <f t="shared" si="2"/>
        <v>0</v>
      </c>
      <c r="L26" s="33"/>
      <c r="M26" s="58">
        <f t="shared" si="3"/>
        <v>0</v>
      </c>
      <c r="N26" s="58" t="str">
        <f t="shared" si="4"/>
        <v/>
      </c>
      <c r="O26" s="33"/>
      <c r="P26" s="33"/>
      <c r="Q26" s="33"/>
      <c r="R26" s="33"/>
      <c r="S26" s="33"/>
      <c r="T26" s="38"/>
      <c r="U26" s="33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69">
        <v>46299.0</v>
      </c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8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8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69">
        <v>46300.0</v>
      </c>
      <c r="B28" s="70">
        <v>16.0</v>
      </c>
      <c r="C28" s="76"/>
      <c r="D28" s="72" t="str">
        <f>IF(C28="", "", IF(VLOOKUP(C28, Referensi!$C$5:$E$11, 3, TRUE) &gt; 1, VLOOKUP(C28, Referensi!$C$5:$E$11, 3, TRUE) / 100, VLOOKUP(C28, Referensi!$C$5:$E$11, 3, TRUE)))</f>
        <v/>
      </c>
      <c r="E28" s="72" t="str">
        <f>IF(C28="", "", IF(VLOOKUP(C28, Referensi!$C$5:$F$11, 4, TRUE) &gt; 1, VLOOKUP(C28, Referensi!$C$5:$F$11, 4, TRUE) / 100, VLOOKUP(C28, Referensi!$C$5:$F$11, 4, TRUE)))</f>
        <v/>
      </c>
      <c r="F28" s="76"/>
      <c r="G28" s="73" t="str">
        <f t="shared" si="5"/>
        <v/>
      </c>
      <c r="H28" s="74" t="str">
        <f t="shared" si="6"/>
        <v/>
      </c>
      <c r="I28" s="73" t="str">
        <f t="shared" si="8"/>
        <v/>
      </c>
      <c r="J28" s="92">
        <f t="shared" si="1"/>
        <v>0</v>
      </c>
      <c r="K28" s="75">
        <f t="shared" si="2"/>
        <v>0</v>
      </c>
      <c r="L28" s="76"/>
      <c r="M28" s="75">
        <f t="shared" si="3"/>
        <v>0</v>
      </c>
      <c r="N28" s="75" t="str">
        <f t="shared" si="4"/>
        <v/>
      </c>
      <c r="O28" s="76"/>
      <c r="P28" s="76"/>
      <c r="Q28" s="76"/>
      <c r="R28" s="76"/>
      <c r="S28" s="76"/>
      <c r="T28" s="74"/>
      <c r="U28" s="76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8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8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8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8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8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8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8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8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8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8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8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8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8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8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8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8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8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8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8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8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8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8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8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8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8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8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8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8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8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8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8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8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8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8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8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8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8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8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8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8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8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8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8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8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8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8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8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8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8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8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8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8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8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8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8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8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8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8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8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8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8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8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8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8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8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8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8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8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8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8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8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8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8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8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8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8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8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8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8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8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8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8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8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8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8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8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8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8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8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8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8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8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8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8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8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8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8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8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8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8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8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8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8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8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8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8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8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8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8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8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8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8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8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8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8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8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8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8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8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8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8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8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8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8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8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8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8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8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8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8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8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8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8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8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8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8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8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8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8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8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8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8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8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8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8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8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8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8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8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8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8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8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8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8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8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8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8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8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8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8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8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8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8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8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8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8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8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8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8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8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8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8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8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8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8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8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8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8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8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8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8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8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8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8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8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8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8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8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8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8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8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8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8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8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8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8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8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8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8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8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8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8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8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8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8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8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8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8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8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8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8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8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8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8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8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8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8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8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8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8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8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8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8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8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8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8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8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8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8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8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8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8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8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8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8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8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8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8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8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8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8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8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8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8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8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8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8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8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8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8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8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8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8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8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8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8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8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8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8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8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8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8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8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8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8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8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8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8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8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8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8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8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27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27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27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27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27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27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27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27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27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27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27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27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27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27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27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27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27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27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27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27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27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27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27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27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27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27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27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27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27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27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27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27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27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27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27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27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27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27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27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27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27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27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27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27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27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27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27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27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27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27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27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27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27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27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27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27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27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27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27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27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27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27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27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27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27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27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27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27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27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27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27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27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27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27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27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27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27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27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27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27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27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27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27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27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27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27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27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27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27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27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27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27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27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27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27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27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27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27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27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27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27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27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27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27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27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27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27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27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27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27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27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27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27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27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27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27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27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27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27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27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27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27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27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27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27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27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27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27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27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27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27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27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27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27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27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27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27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27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27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27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27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27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27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27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27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27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27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27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27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27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27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27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27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27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27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27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27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27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27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27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27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27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27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27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27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27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27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27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27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27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27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27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27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27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27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27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27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27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27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27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27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27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27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27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27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27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27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27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27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27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27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27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27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27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27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27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27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27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27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27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27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27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27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27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27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27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27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27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27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27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27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27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27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27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27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27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27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27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27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27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27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27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27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27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27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27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27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27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27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27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27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27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27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27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27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27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27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27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27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27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27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27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27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27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27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27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27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27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27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27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27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27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27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27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27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27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27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27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27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27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27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27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27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27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27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27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27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27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27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27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27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27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27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27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27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27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27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27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27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27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27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27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27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27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27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27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27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27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27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27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27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27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27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27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27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27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27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27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27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27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27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27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27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27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27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27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27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27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27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27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27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27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27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27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27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27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27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27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27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27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27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27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27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27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27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27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27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27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27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27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27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27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27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27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27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27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27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27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27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27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27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27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27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27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27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27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27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27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27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27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27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27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27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27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27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27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27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27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27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27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27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27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27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27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27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27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27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27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27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27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27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27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27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27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27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27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27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27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27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27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27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27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27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27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27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27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27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27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27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27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27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27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27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27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27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27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27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27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27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27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27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27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27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27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27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27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27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27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27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27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27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27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27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27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27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27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27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27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27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27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27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27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27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27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27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27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27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27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27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27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27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27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27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27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27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27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27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27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27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27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27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27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27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27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27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27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27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27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27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27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27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27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27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27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27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27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27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27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27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27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27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27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27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27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27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27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27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27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27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27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27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27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27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27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27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27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27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27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27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27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27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27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27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27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27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27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27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27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27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27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27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27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27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27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27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27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27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27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27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27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27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27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27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27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27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27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27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27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27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27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27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27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27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27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27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27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27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27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27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27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27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27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27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27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27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27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27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27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27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27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27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27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27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27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27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27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27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27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27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27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27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27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27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27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27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27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27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27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27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27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27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27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27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27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27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27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27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27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27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27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27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27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27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27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27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27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27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27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27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27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27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27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27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27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27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27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27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27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27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27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27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27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27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27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27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27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27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27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27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27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27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27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27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27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27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27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27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27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27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27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27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27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27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27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27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27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27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27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27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27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27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27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27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27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27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27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27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27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27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27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27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27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27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27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27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27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27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27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27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27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27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27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27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27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27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27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27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27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27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27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27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27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27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27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27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27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27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27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27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27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27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27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27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27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27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27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27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27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27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27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27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27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27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27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27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27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27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27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27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27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27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27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27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27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27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27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27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27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27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27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27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27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27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27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27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27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27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27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27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27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27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27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27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27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27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27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27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27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27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27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27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27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27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27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27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27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27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27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27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27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27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27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27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27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27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27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27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27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27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27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27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27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27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27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27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27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27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27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27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27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27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27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27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27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27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27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27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27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27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27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27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27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27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27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27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27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27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27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27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27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27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27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27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27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27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27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27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27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27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27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27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27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27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27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27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27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27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27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27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27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27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27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27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27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27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27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27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27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27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27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27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27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27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27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27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27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27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27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27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27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27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27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27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27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27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27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27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27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27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27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27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27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27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27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27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27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27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27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27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27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27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27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27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27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27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27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27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27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27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27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27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27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27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27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27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27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27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27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27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27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27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27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27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27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27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27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27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27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27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27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27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27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27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27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27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97</v>
      </c>
      <c r="E2" s="1"/>
      <c r="F2" s="37" t="s">
        <v>44</v>
      </c>
      <c r="G2" s="7" t="s">
        <v>98</v>
      </c>
      <c r="H2" s="27"/>
      <c r="I2" s="32" t="s">
        <v>45</v>
      </c>
      <c r="J2" s="4" t="s">
        <v>92</v>
      </c>
      <c r="K2" s="6"/>
      <c r="L2" s="1"/>
      <c r="M2" s="34" t="s">
        <v>2</v>
      </c>
      <c r="N2" s="91" t="s">
        <v>36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4900.0</v>
      </c>
      <c r="E4" s="1"/>
      <c r="F4" s="37" t="s">
        <v>47</v>
      </c>
      <c r="G4" s="38">
        <f>C13*D4</f>
        <v>24500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291</v>
      </c>
      <c r="E5" s="1"/>
      <c r="F5" s="37" t="s">
        <v>50</v>
      </c>
      <c r="G5" s="42">
        <f>SUM(I13:I164)</f>
        <v>12209.7</v>
      </c>
      <c r="H5" s="27"/>
      <c r="I5" s="32" t="s">
        <v>51</v>
      </c>
      <c r="J5" s="43">
        <v>0.35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4609</v>
      </c>
      <c r="E6" s="1"/>
      <c r="F6" s="37" t="s">
        <v>53</v>
      </c>
      <c r="G6" s="64">
        <f>IFERROR(__xludf.DUMMYFUNCTION("IFERROR(CHOOSEROWS(FILTER(H13:H161, LEN(H13:H161) &gt; 0, H13:H161 &lt;&gt; 0), -1), ""Data Masih Kosong"")
"),27852.0)</f>
        <v>27852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0.9406122449</v>
      </c>
      <c r="E7" s="1"/>
      <c r="F7" s="37" t="s">
        <v>56</v>
      </c>
      <c r="G7" s="11">
        <f>IFERROR(G5/(G6-G4),0)</f>
        <v>3.642511933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>
        <f>IF(G6=0,"",J8*G6)</f>
        <v>1392.6</v>
      </c>
      <c r="H8" s="27"/>
      <c r="I8" s="32" t="s">
        <v>58</v>
      </c>
      <c r="J8" s="46">
        <f>IFERROR(__xludf.DUMMYFUNCTION("IFERROR(CHOOSEROWS(FILTER(D13:D161, LEN(D13:D161) &gt; 0, D13:D161 &lt;&gt; 0), -1), 0)"),0.05)</f>
        <v>0.05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46289.0</v>
      </c>
      <c r="B13" s="70">
        <v>1.0</v>
      </c>
      <c r="C13" s="7">
        <v>5.0</v>
      </c>
      <c r="D13" s="56">
        <f>IF(C13="", "", IF(VLOOKUP(C13, Referensi!$C$5:$E$11, 3, TRUE) &gt; 1, VLOOKUP(C13, Referensi!$C$5:$E$11, 3, TRUE) / 100, VLOOKUP(C13, Referensi!$C$5:$E$11, 3, TRUE)))</f>
        <v>0.08</v>
      </c>
      <c r="E13" s="56">
        <f>IF(C13="", "", IF(VLOOKUP(C13, Referensi!$C$5:$F$11, 4, TRUE) &gt; 1, VLOOKUP(C13, Referensi!$C$5:$F$11, 4, TRUE) / 100, VLOOKUP(C13, Referensi!$C$5:$F$11, 4, TRUE)))</f>
        <v>0.1</v>
      </c>
      <c r="F13" s="8">
        <v>25.0</v>
      </c>
      <c r="G13" s="8">
        <f>$D$4-F13</f>
        <v>4875</v>
      </c>
      <c r="H13" s="38">
        <f>C13*G13</f>
        <v>24375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46290.0</v>
      </c>
      <c r="B14" s="70">
        <v>2.0</v>
      </c>
      <c r="C14" s="7">
        <v>5.0</v>
      </c>
      <c r="D14" s="56">
        <f>IF(C14="", "", IF(VLOOKUP(C14, Referensi!$C$5:$E$11, 3, TRUE) &gt; 1, VLOOKUP(C14, Referensi!$C$5:$E$11, 3, TRUE) / 100, VLOOKUP(C14, Referensi!$C$5:$E$11, 3, TRUE)))</f>
        <v>0.08</v>
      </c>
      <c r="E14" s="56">
        <f>IF(C14="", "", IF(VLOOKUP(C14, Referensi!$C$5:$F$11, 4, TRUE) &gt; 1, VLOOKUP(C14, Referensi!$C$5:$F$11, 4, TRUE) / 100, VLOOKUP(C14, Referensi!$C$5:$F$11, 4, TRUE)))</f>
        <v>0.1</v>
      </c>
      <c r="F14" s="8">
        <v>36.0</v>
      </c>
      <c r="G14" s="8">
        <f t="shared" ref="G14:G164" si="5">IF(C14="","",G13-F14)</f>
        <v>4839</v>
      </c>
      <c r="H14" s="38">
        <f t="shared" ref="H14:H164" si="6">IF(C14="","", C14*G14)</f>
        <v>24195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33"/>
      <c r="Q14" s="33"/>
      <c r="R14" s="33"/>
      <c r="S14" s="33"/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46291.0</v>
      </c>
      <c r="B15" s="7">
        <v>3.0</v>
      </c>
      <c r="C15" s="7">
        <v>5.0</v>
      </c>
      <c r="D15" s="56">
        <f>IF(C15="", "", IF(VLOOKUP(C15, Referensi!$C$5:$E$11, 3, TRUE) &gt; 1, VLOOKUP(C15, Referensi!$C$5:$E$11, 3, TRUE) / 100, VLOOKUP(C15, Referensi!$C$5:$E$11, 3, TRUE)))</f>
        <v>0.08</v>
      </c>
      <c r="E15" s="56">
        <f>IF(C15="", "", IF(VLOOKUP(C15, Referensi!$C$5:$F$11, 4, TRUE) &gt; 1, VLOOKUP(C15, Referensi!$C$5:$F$11, 4, TRUE) / 100, VLOOKUP(C15, Referensi!$C$5:$F$11, 4, TRUE)))</f>
        <v>0.1</v>
      </c>
      <c r="F15" s="8">
        <v>39.0</v>
      </c>
      <c r="G15" s="8">
        <f t="shared" si="5"/>
        <v>4800</v>
      </c>
      <c r="H15" s="38">
        <f t="shared" si="6"/>
        <v>24000</v>
      </c>
      <c r="I15" s="8">
        <f t="shared" ref="I15:I164" si="7">IF(C15=0,"",AVERAGE(D15:E15)*H15)</f>
        <v>2160</v>
      </c>
      <c r="J15" s="57">
        <f t="shared" si="1"/>
        <v>108</v>
      </c>
      <c r="K15" s="58">
        <f t="shared" si="2"/>
        <v>756</v>
      </c>
      <c r="L15" s="33"/>
      <c r="M15" s="58">
        <f t="shared" si="3"/>
        <v>0</v>
      </c>
      <c r="N15" s="58">
        <f t="shared" si="4"/>
        <v>7</v>
      </c>
      <c r="O15" s="33"/>
      <c r="P15" s="7">
        <v>8.8</v>
      </c>
      <c r="Q15" s="33"/>
      <c r="R15" s="7">
        <v>6.4</v>
      </c>
      <c r="S15" s="7">
        <v>29.4</v>
      </c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46292.0</v>
      </c>
      <c r="B16" s="7">
        <v>4.0</v>
      </c>
      <c r="C16" s="7">
        <v>5.0</v>
      </c>
      <c r="D16" s="56">
        <f>IF(C16="", "", IF(VLOOKUP(C16, Referensi!$C$5:$E$11, 3, TRUE) &gt; 1, VLOOKUP(C16, Referensi!$C$5:$E$11, 3, TRUE) / 100, VLOOKUP(C16, Referensi!$C$5:$E$11, 3, TRUE)))</f>
        <v>0.08</v>
      </c>
      <c r="E16" s="56">
        <f>IF(C16="", "", IF(VLOOKUP(C16, Referensi!$C$5:$F$11, 4, TRUE) &gt; 1, VLOOKUP(C16, Referensi!$C$5:$F$11, 4, TRUE) / 100, VLOOKUP(C16, Referensi!$C$5:$F$11, 4, TRUE)))</f>
        <v>0.1</v>
      </c>
      <c r="F16" s="8">
        <v>33.0</v>
      </c>
      <c r="G16" s="8">
        <f t="shared" si="5"/>
        <v>4767</v>
      </c>
      <c r="H16" s="38">
        <f t="shared" si="6"/>
        <v>23835</v>
      </c>
      <c r="I16" s="8">
        <f t="shared" si="7"/>
        <v>2145.15</v>
      </c>
      <c r="J16" s="57">
        <f t="shared" si="1"/>
        <v>107.2575</v>
      </c>
      <c r="K16" s="58">
        <f t="shared" si="2"/>
        <v>750.8025</v>
      </c>
      <c r="L16" s="33"/>
      <c r="M16" s="58">
        <f t="shared" si="3"/>
        <v>0</v>
      </c>
      <c r="N16" s="58">
        <f t="shared" si="4"/>
        <v>7</v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46293.0</v>
      </c>
      <c r="B17" s="7">
        <v>5.0</v>
      </c>
      <c r="C17" s="7">
        <v>5.0</v>
      </c>
      <c r="D17" s="56">
        <f>IF(C17="", "", IF(VLOOKUP(C17, Referensi!$C$5:$E$11, 3, TRUE) &gt; 1, VLOOKUP(C17, Referensi!$C$5:$E$11, 3, TRUE) / 100, VLOOKUP(C17, Referensi!$C$5:$E$11, 3, TRUE)))</f>
        <v>0.08</v>
      </c>
      <c r="E17" s="56">
        <f>IF(C17="", "", IF(VLOOKUP(C17, Referensi!$C$5:$F$11, 4, TRUE) &gt; 1, VLOOKUP(C17, Referensi!$C$5:$F$11, 4, TRUE) / 100, VLOOKUP(C17, Referensi!$C$5:$F$11, 4, TRUE)))</f>
        <v>0.1</v>
      </c>
      <c r="F17" s="8">
        <v>27.0</v>
      </c>
      <c r="G17" s="8">
        <f t="shared" si="5"/>
        <v>4740</v>
      </c>
      <c r="H17" s="38">
        <f t="shared" si="6"/>
        <v>23700</v>
      </c>
      <c r="I17" s="8">
        <f t="shared" si="7"/>
        <v>2133</v>
      </c>
      <c r="J17" s="57">
        <f t="shared" si="1"/>
        <v>106.65</v>
      </c>
      <c r="K17" s="58">
        <f t="shared" si="2"/>
        <v>746.55</v>
      </c>
      <c r="L17" s="33"/>
      <c r="M17" s="58">
        <f t="shared" si="3"/>
        <v>0</v>
      </c>
      <c r="N17" s="58">
        <f t="shared" si="4"/>
        <v>7</v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46294.0</v>
      </c>
      <c r="B18" s="7">
        <v>6.0</v>
      </c>
      <c r="C18" s="7">
        <v>5.0</v>
      </c>
      <c r="D18" s="56">
        <f>IF(C18="", "", IF(VLOOKUP(C18, Referensi!$C$5:$E$11, 3, TRUE) &gt; 1, VLOOKUP(C18, Referensi!$C$5:$E$11, 3, TRUE) / 100, VLOOKUP(C18, Referensi!$C$5:$E$11, 3, TRUE)))</f>
        <v>0.08</v>
      </c>
      <c r="E18" s="56">
        <f>IF(C18="", "", IF(VLOOKUP(C18, Referensi!$C$5:$F$11, 4, TRUE) &gt; 1, VLOOKUP(C18, Referensi!$C$5:$F$11, 4, TRUE) / 100, VLOOKUP(C18, Referensi!$C$5:$F$11, 4, TRUE)))</f>
        <v>0.1</v>
      </c>
      <c r="F18" s="8">
        <v>9.0</v>
      </c>
      <c r="G18" s="8">
        <f t="shared" si="5"/>
        <v>4731</v>
      </c>
      <c r="H18" s="38">
        <f t="shared" si="6"/>
        <v>23655</v>
      </c>
      <c r="I18" s="8">
        <f t="shared" si="7"/>
        <v>2128.95</v>
      </c>
      <c r="J18" s="57">
        <f t="shared" si="1"/>
        <v>106.4475</v>
      </c>
      <c r="K18" s="58">
        <f t="shared" si="2"/>
        <v>745.1325</v>
      </c>
      <c r="L18" s="33"/>
      <c r="M18" s="58">
        <f t="shared" si="3"/>
        <v>0</v>
      </c>
      <c r="N18" s="58">
        <f t="shared" si="4"/>
        <v>7</v>
      </c>
      <c r="O18" s="33"/>
      <c r="P18" s="7">
        <v>7.6</v>
      </c>
      <c r="Q18" s="33"/>
      <c r="R18" s="7">
        <v>4.9</v>
      </c>
      <c r="S18" s="7">
        <v>31.0</v>
      </c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46295.0</v>
      </c>
      <c r="B19" s="7">
        <v>7.0</v>
      </c>
      <c r="C19" s="7">
        <v>6.0</v>
      </c>
      <c r="D19" s="56">
        <f>IF(C19="", "", IF(VLOOKUP(C19, Referensi!$C$5:$E$11, 3, TRUE) &gt; 1, VLOOKUP(C19, Referensi!$C$5:$E$11, 3, TRUE) / 100, VLOOKUP(C19, Referensi!$C$5:$E$11, 3, TRUE)))</f>
        <v>0.05</v>
      </c>
      <c r="E19" s="56">
        <f>IF(C19="", "", IF(VLOOKUP(C19, Referensi!$C$5:$F$11, 4, TRUE) &gt; 1, VLOOKUP(C19, Referensi!$C$5:$F$11, 4, TRUE) / 100, VLOOKUP(C19, Referensi!$C$5:$F$11, 4, TRUE)))</f>
        <v>0.08</v>
      </c>
      <c r="F19" s="8">
        <v>33.0</v>
      </c>
      <c r="G19" s="8">
        <f t="shared" si="5"/>
        <v>4698</v>
      </c>
      <c r="H19" s="38">
        <f t="shared" si="6"/>
        <v>28188</v>
      </c>
      <c r="I19" s="8">
        <f t="shared" si="7"/>
        <v>1832.22</v>
      </c>
      <c r="J19" s="57">
        <f t="shared" si="1"/>
        <v>91.611</v>
      </c>
      <c r="K19" s="58">
        <f t="shared" si="2"/>
        <v>641.277</v>
      </c>
      <c r="L19" s="33"/>
      <c r="M19" s="58">
        <f t="shared" si="3"/>
        <v>0</v>
      </c>
      <c r="N19" s="58">
        <f t="shared" si="4"/>
        <v>7</v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46296.0</v>
      </c>
      <c r="B20" s="7">
        <v>8.0</v>
      </c>
      <c r="C20" s="7">
        <v>6.0</v>
      </c>
      <c r="D20" s="56">
        <f>IF(C20="", "", IF(VLOOKUP(C20, Referensi!$C$5:$E$11, 3, TRUE) &gt; 1, VLOOKUP(C20, Referensi!$C$5:$E$11, 3, TRUE) / 100, VLOOKUP(C20, Referensi!$C$5:$E$11, 3, TRUE)))</f>
        <v>0.05</v>
      </c>
      <c r="E20" s="56">
        <f>IF(C20="", "", IF(VLOOKUP(C20, Referensi!$C$5:$F$11, 4, TRUE) &gt; 1, VLOOKUP(C20, Referensi!$C$5:$F$11, 4, TRUE) / 100, VLOOKUP(C20, Referensi!$C$5:$F$11, 4, TRUE)))</f>
        <v>0.08</v>
      </c>
      <c r="F20" s="8">
        <v>56.0</v>
      </c>
      <c r="G20" s="8">
        <f t="shared" si="5"/>
        <v>4642</v>
      </c>
      <c r="H20" s="38">
        <f t="shared" si="6"/>
        <v>27852</v>
      </c>
      <c r="I20" s="8">
        <f t="shared" si="7"/>
        <v>1810.38</v>
      </c>
      <c r="J20" s="57">
        <f t="shared" si="1"/>
        <v>90.519</v>
      </c>
      <c r="K20" s="58">
        <f t="shared" si="2"/>
        <v>633.633</v>
      </c>
      <c r="L20" s="33"/>
      <c r="M20" s="58">
        <f t="shared" si="3"/>
        <v>0</v>
      </c>
      <c r="N20" s="58">
        <f t="shared" si="4"/>
        <v>7</v>
      </c>
      <c r="O20" s="33"/>
      <c r="P20" s="33"/>
      <c r="Q20" s="33"/>
      <c r="R20" s="33"/>
      <c r="S20" s="33"/>
      <c r="T20" s="7">
        <f>1409-103</f>
        <v>1306</v>
      </c>
      <c r="U20" s="33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46297.0</v>
      </c>
      <c r="B21" s="70">
        <v>9.0</v>
      </c>
      <c r="C21" s="76"/>
      <c r="D21" s="72" t="str">
        <f>IF(C21="", "", IF(VLOOKUP(C21, Referensi!$C$5:$E$11, 3, TRUE) &gt; 1, VLOOKUP(C21, Referensi!$C$5:$E$11, 3, TRUE) / 100, VLOOKUP(C21, Referensi!$C$5:$E$11, 3, TRUE)))</f>
        <v/>
      </c>
      <c r="E21" s="72" t="str">
        <f>IF(C21="", "", IF(VLOOKUP(C21, Referensi!$C$5:$F$11, 4, TRUE) &gt; 1, VLOOKUP(C21, Referensi!$C$5:$F$11, 4, TRUE) / 100, VLOOKUP(C21, Referensi!$C$5:$F$11, 4, TRUE)))</f>
        <v/>
      </c>
      <c r="F21" s="73">
        <v>33.0</v>
      </c>
      <c r="G21" s="73" t="str">
        <f t="shared" si="5"/>
        <v/>
      </c>
      <c r="H21" s="74" t="str">
        <f t="shared" si="6"/>
        <v/>
      </c>
      <c r="I21" s="73" t="str">
        <f t="shared" si="7"/>
        <v/>
      </c>
      <c r="J21" s="92">
        <f t="shared" si="1"/>
        <v>0</v>
      </c>
      <c r="K21" s="75">
        <f t="shared" si="2"/>
        <v>0</v>
      </c>
      <c r="L21" s="76"/>
      <c r="M21" s="75">
        <f t="shared" si="3"/>
        <v>0</v>
      </c>
      <c r="N21" s="75" t="str">
        <f t="shared" si="4"/>
        <v/>
      </c>
      <c r="O21" s="7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46298.0</v>
      </c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46299.0</v>
      </c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46300.0</v>
      </c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46301.0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46302.0</v>
      </c>
      <c r="B26" s="7">
        <v>14.0</v>
      </c>
      <c r="C26" s="33"/>
      <c r="D26" s="56" t="str">
        <f>IF(C26="", "", IF(VLOOKUP(C26, Referensi!$C$5:$E$11, 3, TRUE) &gt; 1, VLOOKUP(C26, Referensi!$C$5:$E$11, 3, TRUE) / 100, VLOOKUP(C26, Referensi!$C$5:$E$11, 3, TRUE)))</f>
        <v/>
      </c>
      <c r="E26" s="56" t="str">
        <f>IF(C26="", "", IF(VLOOKUP(C26, Referensi!$C$5:$F$11, 4, TRUE) &gt; 1, VLOOKUP(C26, Referensi!$C$5:$F$11, 4, TRUE) / 100, VLOOKUP(C26, Referensi!$C$5:$F$11, 4, TRUE)))</f>
        <v/>
      </c>
      <c r="F26" s="33"/>
      <c r="G26" s="8" t="str">
        <f t="shared" si="5"/>
        <v/>
      </c>
      <c r="H26" s="38" t="str">
        <f t="shared" si="6"/>
        <v/>
      </c>
      <c r="I26" s="8" t="str">
        <f t="shared" si="7"/>
        <v/>
      </c>
      <c r="J26" s="57">
        <f t="shared" si="1"/>
        <v>0</v>
      </c>
      <c r="K26" s="58">
        <f t="shared" si="2"/>
        <v>0</v>
      </c>
      <c r="L26" s="33"/>
      <c r="M26" s="58">
        <f t="shared" si="3"/>
        <v>0</v>
      </c>
      <c r="N26" s="58" t="str">
        <f t="shared" si="4"/>
        <v/>
      </c>
      <c r="O26" s="33"/>
      <c r="P26" s="33"/>
      <c r="Q26" s="33"/>
      <c r="R26" s="33"/>
      <c r="S26" s="33"/>
      <c r="T26" s="33"/>
      <c r="U26" s="33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69">
        <v>46303.0</v>
      </c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69">
        <v>46304.0</v>
      </c>
      <c r="B28" s="70">
        <v>16.0</v>
      </c>
      <c r="C28" s="76"/>
      <c r="D28" s="72" t="str">
        <f>IF(C28="", "", IF(VLOOKUP(C28, Referensi!$C$5:$E$11, 3, TRUE) &gt; 1, VLOOKUP(C28, Referensi!$C$5:$E$11, 3, TRUE) / 100, VLOOKUP(C28, Referensi!$C$5:$E$11, 3, TRUE)))</f>
        <v/>
      </c>
      <c r="E28" s="72" t="str">
        <f>IF(C28="", "", IF(VLOOKUP(C28, Referensi!$C$5:$F$11, 4, TRUE) &gt; 1, VLOOKUP(C28, Referensi!$C$5:$F$11, 4, TRUE) / 100, VLOOKUP(C28, Referensi!$C$5:$F$11, 4, TRUE)))</f>
        <v/>
      </c>
      <c r="F28" s="76"/>
      <c r="G28" s="73" t="str">
        <f t="shared" si="5"/>
        <v/>
      </c>
      <c r="H28" s="74" t="str">
        <f t="shared" si="6"/>
        <v/>
      </c>
      <c r="I28" s="73" t="str">
        <f t="shared" si="7"/>
        <v/>
      </c>
      <c r="J28" s="92">
        <f t="shared" si="1"/>
        <v>0</v>
      </c>
      <c r="K28" s="75">
        <f t="shared" si="2"/>
        <v>0</v>
      </c>
      <c r="L28" s="76"/>
      <c r="M28" s="75">
        <f t="shared" si="3"/>
        <v>0</v>
      </c>
      <c r="N28" s="75" t="str">
        <f t="shared" si="4"/>
        <v/>
      </c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99</v>
      </c>
      <c r="E2" s="1"/>
      <c r="F2" s="37" t="s">
        <v>44</v>
      </c>
      <c r="G2" s="94"/>
      <c r="H2" s="27"/>
      <c r="I2" s="32" t="s">
        <v>45</v>
      </c>
      <c r="J2" s="4" t="s">
        <v>81</v>
      </c>
      <c r="K2" s="6"/>
      <c r="L2" s="1"/>
      <c r="M2" s="34" t="s">
        <v>2</v>
      </c>
      <c r="N2" s="91" t="s">
        <v>88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4900.0</v>
      </c>
      <c r="E4" s="1"/>
      <c r="F4" s="37" t="s">
        <v>47</v>
      </c>
      <c r="G4" s="38">
        <f>C13*D4</f>
        <v>0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0</v>
      </c>
      <c r="E5" s="1"/>
      <c r="F5" s="37" t="s">
        <v>50</v>
      </c>
      <c r="G5" s="42">
        <f>SUM(I13:I164)</f>
        <v>0</v>
      </c>
      <c r="H5" s="27"/>
      <c r="I5" s="32" t="s">
        <v>51</v>
      </c>
      <c r="J5" s="43">
        <v>0.35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4900</v>
      </c>
      <c r="E6" s="1"/>
      <c r="F6" s="37" t="s">
        <v>53</v>
      </c>
      <c r="G6" s="64">
        <f>IFERROR(__xludf.DUMMYFUNCTION("IFERROR(CHOOSEROWS(FILTER(H13:H161, LEN(H13:H161) &gt; 0, H13:H161 &lt;&gt; 0), -1), 0)"),0.0)</f>
        <v>0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1</v>
      </c>
      <c r="E7" s="1"/>
      <c r="F7" s="37" t="s">
        <v>56</v>
      </c>
      <c r="G7" s="11">
        <f>IFERROR(G5/(G6-G4),0)</f>
        <v>0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 t="str">
        <f>IF(G6=0,"",J8*G6)</f>
        <v/>
      </c>
      <c r="H8" s="27"/>
      <c r="I8" s="32" t="s">
        <v>58</v>
      </c>
      <c r="J8" s="46">
        <f>IFERROR(__xludf.DUMMYFUNCTION("IFERROR(CHOOSEROWS(FILTER(D13:D161, LEN(D13:D161) &gt; 0, D13:D161 &lt;&gt; 0), -1), 0)"),0.0)</f>
        <v>0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69">
        <v>46289.0</v>
      </c>
      <c r="B13" s="70">
        <v>1.0</v>
      </c>
      <c r="C13" s="7">
        <v>0.0</v>
      </c>
      <c r="D13" s="56" t="str">
        <f>IF(C13="", "", IF(VLOOKUP(C13, Referensi!$C$5:$E$11, 3, TRUE) &gt; 1, VLOOKUP(C13, Referensi!$C$5:$E$11, 3, TRUE) / 100, VLOOKUP(C13, Referensi!$C$5:$E$11, 3, TRUE)))</f>
        <v>#N/A</v>
      </c>
      <c r="E13" s="56" t="str">
        <f>IF(C13="", "", IF(VLOOKUP(C13, Referensi!$C$5:$F$11, 4, TRUE) &gt; 1, VLOOKUP(C13, Referensi!$C$5:$F$11, 4, TRUE) / 100, VLOOKUP(C13, Referensi!$C$5:$F$11, 4, TRUE)))</f>
        <v>#N/A</v>
      </c>
      <c r="F13" s="8">
        <v>0.0</v>
      </c>
      <c r="G13" s="8">
        <f>$D$4-F13</f>
        <v>4900</v>
      </c>
      <c r="H13" s="38">
        <f>C13*G13</f>
        <v>0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69">
        <v>46290.0</v>
      </c>
      <c r="B14" s="70">
        <v>2.0</v>
      </c>
      <c r="C14" s="7">
        <v>0.0</v>
      </c>
      <c r="D14" s="56" t="str">
        <f>IF(C14="", "", IF(VLOOKUP(C14, Referensi!$C$5:$E$11, 3, TRUE) &gt; 1, VLOOKUP(C14, Referensi!$C$5:$E$11, 3, TRUE) / 100, VLOOKUP(C14, Referensi!$C$5:$E$11, 3, TRUE)))</f>
        <v>#N/A</v>
      </c>
      <c r="E14" s="56" t="str">
        <f>IF(C14="", "", IF(VLOOKUP(C14, Referensi!$C$5:$F$11, 4, TRUE) &gt; 1, VLOOKUP(C14, Referensi!$C$5:$F$11, 4, TRUE) / 100, VLOOKUP(C14, Referensi!$C$5:$F$11, 4, TRUE)))</f>
        <v>#N/A</v>
      </c>
      <c r="F14" s="8">
        <v>0.0</v>
      </c>
      <c r="G14" s="8">
        <f t="shared" ref="G14:G164" si="5">IF(C14="","",G13-F14)</f>
        <v>4900</v>
      </c>
      <c r="H14" s="38">
        <f t="shared" ref="H14:H164" si="6">IF(C14="","", C14*G14)</f>
        <v>0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8.7</v>
      </c>
      <c r="Q14" s="33"/>
      <c r="R14" s="7">
        <v>5.9</v>
      </c>
      <c r="S14" s="7">
        <v>29.9</v>
      </c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69">
        <v>46291.0</v>
      </c>
      <c r="B15" s="7">
        <v>3.0</v>
      </c>
      <c r="C15" s="33"/>
      <c r="D15" s="56" t="str">
        <f>IF(C15="", "", IF(VLOOKUP(C15, Referensi!$C$5:$E$11, 3, TRUE) &gt; 1, VLOOKUP(C15, Referensi!$C$5:$E$11, 3, TRUE) / 100, VLOOKUP(C15, Referensi!$C$5:$E$11, 3, TRUE)))</f>
        <v/>
      </c>
      <c r="E15" s="56" t="str">
        <f>IF(C15="", "", IF(VLOOKUP(C15, Referensi!$C$5:$F$11, 4, TRUE) &gt; 1, VLOOKUP(C15, Referensi!$C$5:$F$11, 4, TRUE) / 100, VLOOKUP(C15, Referensi!$C$5:$F$11, 4, TRUE)))</f>
        <v/>
      </c>
      <c r="F15" s="8"/>
      <c r="G15" s="8" t="str">
        <f t="shared" si="5"/>
        <v/>
      </c>
      <c r="H15" s="38" t="str">
        <f t="shared" si="6"/>
        <v/>
      </c>
      <c r="I15" s="8" t="str">
        <f t="shared" ref="I15:I164" si="7">IF(C15=0,"",AVERAGE(D15:E15)*H15)</f>
        <v/>
      </c>
      <c r="J15" s="57">
        <f t="shared" si="1"/>
        <v>0</v>
      </c>
      <c r="K15" s="58">
        <f t="shared" si="2"/>
        <v>0</v>
      </c>
      <c r="L15" s="33"/>
      <c r="M15" s="58">
        <f t="shared" si="3"/>
        <v>0</v>
      </c>
      <c r="N15" s="58" t="str">
        <f t="shared" si="4"/>
        <v/>
      </c>
      <c r="O15" s="33"/>
      <c r="P15" s="7"/>
      <c r="Q15" s="33"/>
      <c r="R15" s="7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69">
        <v>46292.0</v>
      </c>
      <c r="B16" s="7">
        <v>4.0</v>
      </c>
      <c r="C16" s="33"/>
      <c r="D16" s="56" t="str">
        <f>IF(C16="", "", IF(VLOOKUP(C16, Referensi!$C$5:$E$11, 3, TRUE) &gt; 1, VLOOKUP(C16, Referensi!$C$5:$E$11, 3, TRUE) / 100, VLOOKUP(C16, Referensi!$C$5:$E$11, 3, TRUE)))</f>
        <v/>
      </c>
      <c r="E16" s="56" t="str">
        <f>IF(C16="", "", IF(VLOOKUP(C16, Referensi!$C$5:$F$11, 4, TRUE) &gt; 1, VLOOKUP(C16, Referensi!$C$5:$F$11, 4, TRUE) / 100, VLOOKUP(C16, Referensi!$C$5:$F$11, 4, TRUE)))</f>
        <v/>
      </c>
      <c r="F16" s="8"/>
      <c r="G16" s="8" t="str">
        <f t="shared" si="5"/>
        <v/>
      </c>
      <c r="H16" s="38" t="str">
        <f t="shared" si="6"/>
        <v/>
      </c>
      <c r="I16" s="8" t="str">
        <f t="shared" si="7"/>
        <v/>
      </c>
      <c r="J16" s="57">
        <f t="shared" si="1"/>
        <v>0</v>
      </c>
      <c r="K16" s="58">
        <f t="shared" si="2"/>
        <v>0</v>
      </c>
      <c r="L16" s="33"/>
      <c r="M16" s="58">
        <f t="shared" si="3"/>
        <v>0</v>
      </c>
      <c r="N16" s="58" t="str">
        <f t="shared" si="4"/>
        <v/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69">
        <v>46293.0</v>
      </c>
      <c r="B17" s="7">
        <v>5.0</v>
      </c>
      <c r="C17" s="33"/>
      <c r="D17" s="56" t="str">
        <f>IF(C17="", "", IF(VLOOKUP(C17, Referensi!$C$5:$E$11, 3, TRUE) &gt; 1, VLOOKUP(C17, Referensi!$C$5:$E$11, 3, TRUE) / 100, VLOOKUP(C17, Referensi!$C$5:$E$11, 3, TRUE)))</f>
        <v/>
      </c>
      <c r="E17" s="56" t="str">
        <f>IF(C17="", "", IF(VLOOKUP(C17, Referensi!$C$5:$F$11, 4, TRUE) &gt; 1, VLOOKUP(C17, Referensi!$C$5:$F$11, 4, TRUE) / 100, VLOOKUP(C17, Referensi!$C$5:$F$11, 4, TRUE)))</f>
        <v/>
      </c>
      <c r="F17" s="38"/>
      <c r="G17" s="8" t="str">
        <f t="shared" si="5"/>
        <v/>
      </c>
      <c r="H17" s="38" t="str">
        <f t="shared" si="6"/>
        <v/>
      </c>
      <c r="I17" s="8" t="str">
        <f t="shared" si="7"/>
        <v/>
      </c>
      <c r="J17" s="57">
        <f t="shared" si="1"/>
        <v>0</v>
      </c>
      <c r="K17" s="58">
        <f t="shared" si="2"/>
        <v>0</v>
      </c>
      <c r="L17" s="33"/>
      <c r="M17" s="58">
        <f t="shared" si="3"/>
        <v>0</v>
      </c>
      <c r="N17" s="58" t="str">
        <f t="shared" si="4"/>
        <v/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69">
        <v>46294.0</v>
      </c>
      <c r="B18" s="7">
        <v>6.0</v>
      </c>
      <c r="C18" s="33"/>
      <c r="D18" s="56" t="str">
        <f>IF(C18="", "", IF(VLOOKUP(C18, Referensi!$C$5:$E$11, 3, TRUE) &gt; 1, VLOOKUP(C18, Referensi!$C$5:$E$11, 3, TRUE) / 100, VLOOKUP(C18, Referensi!$C$5:$E$11, 3, TRUE)))</f>
        <v/>
      </c>
      <c r="E18" s="56" t="str">
        <f>IF(C18="", "", IF(VLOOKUP(C18, Referensi!$C$5:$F$11, 4, TRUE) &gt; 1, VLOOKUP(C18, Referensi!$C$5:$F$11, 4, TRUE) / 100, VLOOKUP(C18, Referensi!$C$5:$F$11, 4, TRUE)))</f>
        <v/>
      </c>
      <c r="F18" s="38"/>
      <c r="G18" s="8" t="str">
        <f t="shared" si="5"/>
        <v/>
      </c>
      <c r="H18" s="38" t="str">
        <f t="shared" si="6"/>
        <v/>
      </c>
      <c r="I18" s="8" t="str">
        <f t="shared" si="7"/>
        <v/>
      </c>
      <c r="J18" s="57">
        <f t="shared" si="1"/>
        <v>0</v>
      </c>
      <c r="K18" s="58">
        <f t="shared" si="2"/>
        <v>0</v>
      </c>
      <c r="L18" s="33"/>
      <c r="M18" s="58">
        <f t="shared" si="3"/>
        <v>0</v>
      </c>
      <c r="N18" s="58" t="str">
        <f t="shared" si="4"/>
        <v/>
      </c>
      <c r="O18" s="33"/>
      <c r="P18" s="33"/>
      <c r="Q18" s="33"/>
      <c r="R18" s="33"/>
      <c r="S18" s="33"/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69">
        <v>46295.0</v>
      </c>
      <c r="B19" s="7">
        <v>7.0</v>
      </c>
      <c r="C19" s="7"/>
      <c r="D19" s="56" t="str">
        <f>IF(C19="", "", IF(VLOOKUP(C19, Referensi!$C$5:$E$11, 3, TRUE) &gt; 1, VLOOKUP(C19, Referensi!$C$5:$E$11, 3, TRUE) / 100, VLOOKUP(C19, Referensi!$C$5:$E$11, 3, TRUE)))</f>
        <v/>
      </c>
      <c r="E19" s="56" t="str">
        <f>IF(C19="", "", IF(VLOOKUP(C19, Referensi!$C$5:$F$11, 4, TRUE) &gt; 1, VLOOKUP(C19, Referensi!$C$5:$F$11, 4, TRUE) / 100, VLOOKUP(C19, Referensi!$C$5:$F$11, 4, TRUE)))</f>
        <v/>
      </c>
      <c r="F19" s="38"/>
      <c r="G19" s="8" t="str">
        <f t="shared" si="5"/>
        <v/>
      </c>
      <c r="H19" s="38" t="str">
        <f t="shared" si="6"/>
        <v/>
      </c>
      <c r="I19" s="8" t="str">
        <f t="shared" si="7"/>
        <v/>
      </c>
      <c r="J19" s="57">
        <f t="shared" si="1"/>
        <v>0</v>
      </c>
      <c r="K19" s="58">
        <f t="shared" si="2"/>
        <v>0</v>
      </c>
      <c r="L19" s="33"/>
      <c r="M19" s="58">
        <f t="shared" si="3"/>
        <v>0</v>
      </c>
      <c r="N19" s="58" t="str">
        <f t="shared" si="4"/>
        <v/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69">
        <v>46296.0</v>
      </c>
      <c r="B20" s="70">
        <v>8.0</v>
      </c>
      <c r="C20" s="76"/>
      <c r="D20" s="72" t="str">
        <f>IF(C20="", "", IF(VLOOKUP(C20, Referensi!$C$5:$E$11, 3, TRUE) &gt; 1, VLOOKUP(C20, Referensi!$C$5:$E$11, 3, TRUE) / 100, VLOOKUP(C20, Referensi!$C$5:$E$11, 3, TRUE)))</f>
        <v/>
      </c>
      <c r="E20" s="72" t="str">
        <f>IF(C20="", "", IF(VLOOKUP(C20, Referensi!$C$5:$F$11, 4, TRUE) &gt; 1, VLOOKUP(C20, Referensi!$C$5:$F$11, 4, TRUE) / 100, VLOOKUP(C20, Referensi!$C$5:$F$11, 4, TRUE)))</f>
        <v/>
      </c>
      <c r="F20" s="74"/>
      <c r="G20" s="73" t="str">
        <f t="shared" si="5"/>
        <v/>
      </c>
      <c r="H20" s="74" t="str">
        <f t="shared" si="6"/>
        <v/>
      </c>
      <c r="I20" s="73" t="str">
        <f t="shared" si="7"/>
        <v/>
      </c>
      <c r="J20" s="92">
        <f t="shared" si="1"/>
        <v>0</v>
      </c>
      <c r="K20" s="75">
        <f t="shared" si="2"/>
        <v>0</v>
      </c>
      <c r="L20" s="76"/>
      <c r="M20" s="75">
        <f t="shared" si="3"/>
        <v>0</v>
      </c>
      <c r="N20" s="75" t="str">
        <f t="shared" si="4"/>
        <v/>
      </c>
      <c r="O20" s="7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69">
        <v>46297.0</v>
      </c>
      <c r="B21" s="7">
        <v>9.0</v>
      </c>
      <c r="C21" s="33"/>
      <c r="D21" s="56" t="str">
        <f>IF(C21="", "", IF(VLOOKUP(C21, Referensi!$C$5:$E$11, 3, TRUE) &gt; 1, VLOOKUP(C21, Referensi!$C$5:$E$11, 3, TRUE) / 100, VLOOKUP(C21, Referensi!$C$5:$E$11, 3, TRUE)))</f>
        <v/>
      </c>
      <c r="E21" s="56" t="str">
        <f>IF(C21="", "", IF(VLOOKUP(C21, Referensi!$C$5:$F$11, 4, TRUE) &gt; 1, VLOOKUP(C21, Referensi!$C$5:$F$11, 4, TRUE) / 100, VLOOKUP(C21, Referensi!$C$5:$F$11, 4, TRUE)))</f>
        <v/>
      </c>
      <c r="F21" s="38"/>
      <c r="G21" s="8" t="str">
        <f t="shared" si="5"/>
        <v/>
      </c>
      <c r="H21" s="38" t="str">
        <f t="shared" si="6"/>
        <v/>
      </c>
      <c r="I21" s="8" t="str">
        <f t="shared" si="7"/>
        <v/>
      </c>
      <c r="J21" s="57">
        <f t="shared" si="1"/>
        <v>0</v>
      </c>
      <c r="K21" s="58">
        <f t="shared" si="2"/>
        <v>0</v>
      </c>
      <c r="L21" s="33"/>
      <c r="M21" s="58">
        <f t="shared" si="3"/>
        <v>0</v>
      </c>
      <c r="N21" s="58" t="str">
        <f t="shared" si="4"/>
        <v/>
      </c>
      <c r="O21" s="33"/>
      <c r="P21" s="33"/>
      <c r="Q21" s="33"/>
      <c r="R21" s="33"/>
      <c r="S21" s="33"/>
      <c r="T21" s="33"/>
      <c r="U21" s="3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69">
        <v>46298.0</v>
      </c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69">
        <v>46299.0</v>
      </c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69">
        <v>46300.0</v>
      </c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69">
        <v>46301.0</v>
      </c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69">
        <v>46302.0</v>
      </c>
      <c r="B26" s="70">
        <v>14.0</v>
      </c>
      <c r="C26" s="76"/>
      <c r="D26" s="72" t="str">
        <f>IF(C26="", "", IF(VLOOKUP(C26, Referensi!$C$5:$E$11, 3, TRUE) &gt; 1, VLOOKUP(C26, Referensi!$C$5:$E$11, 3, TRUE) / 100, VLOOKUP(C26, Referensi!$C$5:$E$11, 3, TRUE)))</f>
        <v/>
      </c>
      <c r="E26" s="72" t="str">
        <f>IF(C26="", "", IF(VLOOKUP(C26, Referensi!$C$5:$F$11, 4, TRUE) &gt; 1, VLOOKUP(C26, Referensi!$C$5:$F$11, 4, TRUE) / 100, VLOOKUP(C26, Referensi!$C$5:$F$11, 4, TRUE)))</f>
        <v/>
      </c>
      <c r="F26" s="76"/>
      <c r="G26" s="73" t="str">
        <f t="shared" si="5"/>
        <v/>
      </c>
      <c r="H26" s="74" t="str">
        <f t="shared" si="6"/>
        <v/>
      </c>
      <c r="I26" s="73" t="str">
        <f t="shared" si="7"/>
        <v/>
      </c>
      <c r="J26" s="92">
        <f t="shared" si="1"/>
        <v>0</v>
      </c>
      <c r="K26" s="75">
        <f t="shared" si="2"/>
        <v>0</v>
      </c>
      <c r="L26" s="76"/>
      <c r="M26" s="75">
        <f t="shared" si="3"/>
        <v>0</v>
      </c>
      <c r="N26" s="75" t="str">
        <f t="shared" si="4"/>
        <v/>
      </c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69">
        <v>46303.0</v>
      </c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69">
        <v>46304.0</v>
      </c>
      <c r="B28" s="7">
        <v>16.0</v>
      </c>
      <c r="C28" s="33"/>
      <c r="D28" s="56" t="str">
        <f>IF(C28="", "", IF(VLOOKUP(C28, Referensi!$C$5:$E$11, 3, TRUE) &gt; 1, VLOOKUP(C28, Referensi!$C$5:$E$11, 3, TRUE) / 100, VLOOKUP(C28, Referensi!$C$5:$E$11, 3, TRUE)))</f>
        <v/>
      </c>
      <c r="E28" s="56" t="str">
        <f>IF(C28="", "", IF(VLOOKUP(C28, Referensi!$C$5:$F$11, 4, TRUE) &gt; 1, VLOOKUP(C28, Referensi!$C$5:$F$11, 4, TRUE) / 100, VLOOKUP(C28, Referensi!$C$5:$F$11, 4, TRUE)))</f>
        <v/>
      </c>
      <c r="F28" s="33"/>
      <c r="G28" s="8" t="str">
        <f t="shared" si="5"/>
        <v/>
      </c>
      <c r="H28" s="38" t="str">
        <f t="shared" si="6"/>
        <v/>
      </c>
      <c r="I28" s="8" t="str">
        <f t="shared" si="7"/>
        <v/>
      </c>
      <c r="J28" s="57">
        <f t="shared" si="1"/>
        <v>0</v>
      </c>
      <c r="K28" s="58">
        <f t="shared" si="2"/>
        <v>0</v>
      </c>
      <c r="L28" s="33"/>
      <c r="M28" s="58">
        <f t="shared" si="3"/>
        <v>0</v>
      </c>
      <c r="N28" s="58" t="str">
        <f t="shared" si="4"/>
        <v/>
      </c>
      <c r="O28" s="33"/>
      <c r="P28" s="33"/>
      <c r="Q28" s="33"/>
      <c r="R28" s="33"/>
      <c r="S28" s="33"/>
      <c r="T28" s="33"/>
      <c r="U28" s="33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6.25"/>
    <col customWidth="1" min="3" max="3" width="13.25"/>
    <col customWidth="1" min="4" max="4" width="10.0"/>
    <col customWidth="1" min="5" max="5" width="10.25"/>
    <col customWidth="1" min="10" max="10" width="8.88"/>
    <col customWidth="1" min="11" max="11" width="8.13"/>
    <col customWidth="1" min="12" max="12" width="9.88"/>
    <col customWidth="1" min="13" max="13" width="8.5"/>
    <col customWidth="1" min="14" max="14" width="8.88"/>
    <col customWidth="1" min="16" max="16" width="7.38"/>
    <col customWidth="1" min="17" max="17" width="6.25"/>
    <col customWidth="1" min="18" max="19" width="7.38"/>
  </cols>
  <sheetData>
    <row r="1">
      <c r="A1" s="1"/>
      <c r="B1" s="1"/>
      <c r="C1" s="1"/>
      <c r="D1" s="1"/>
      <c r="E1" s="1"/>
      <c r="F1" s="1"/>
      <c r="G1" s="1"/>
      <c r="H1" s="27"/>
      <c r="I1" s="27"/>
      <c r="J1" s="1"/>
      <c r="K1" s="28"/>
      <c r="L1" s="1"/>
      <c r="M1" s="2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2" t="s">
        <v>100</v>
      </c>
      <c r="E2" s="1"/>
      <c r="F2" s="37" t="s">
        <v>44</v>
      </c>
      <c r="G2" s="94"/>
      <c r="H2" s="27"/>
      <c r="I2" s="32" t="s">
        <v>45</v>
      </c>
      <c r="J2" s="4" t="s">
        <v>81</v>
      </c>
      <c r="K2" s="6"/>
      <c r="L2" s="1"/>
      <c r="M2" s="34" t="s">
        <v>2</v>
      </c>
      <c r="N2" s="35" t="s">
        <v>36</v>
      </c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27"/>
      <c r="I3" s="27"/>
      <c r="J3" s="1"/>
      <c r="K3" s="28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6" t="s">
        <v>46</v>
      </c>
      <c r="C4" s="6"/>
      <c r="D4" s="8">
        <v>5600.0</v>
      </c>
      <c r="E4" s="1"/>
      <c r="F4" s="37" t="s">
        <v>47</v>
      </c>
      <c r="G4" s="38">
        <f>C13*D4</f>
        <v>0</v>
      </c>
      <c r="H4" s="27"/>
      <c r="I4" s="32" t="s">
        <v>48</v>
      </c>
      <c r="J4" s="11">
        <v>0.32</v>
      </c>
      <c r="K4" s="28"/>
      <c r="L4" s="1"/>
      <c r="M4" s="39" t="s">
        <v>32</v>
      </c>
      <c r="N4" s="40" t="s">
        <v>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36" t="s">
        <v>49</v>
      </c>
      <c r="C5" s="6"/>
      <c r="D5" s="41">
        <f>SUM(F13:F164)</f>
        <v>0</v>
      </c>
      <c r="E5" s="1"/>
      <c r="F5" s="37" t="s">
        <v>50</v>
      </c>
      <c r="G5" s="42">
        <f>SUM(I13:I164)</f>
        <v>0</v>
      </c>
      <c r="H5" s="27"/>
      <c r="I5" s="32" t="s">
        <v>51</v>
      </c>
      <c r="J5" s="43">
        <v>0.17</v>
      </c>
      <c r="K5" s="28"/>
      <c r="L5" s="1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36" t="s">
        <v>52</v>
      </c>
      <c r="C6" s="6"/>
      <c r="D6" s="41">
        <f>D4-D5</f>
        <v>5600</v>
      </c>
      <c r="E6" s="1"/>
      <c r="F6" s="37" t="s">
        <v>53</v>
      </c>
      <c r="G6" s="64">
        <f>IFERROR(__xludf.DUMMYFUNCTION("IFERROR(CHOOSEROWS(FILTER(H13:H161, LEN(H13:H161) &gt; 0, H13:H161 &lt;&gt; 0), -1), 0)"),0.0)</f>
        <v>0</v>
      </c>
      <c r="H6" s="27"/>
      <c r="I6" s="32" t="s">
        <v>54</v>
      </c>
      <c r="J6" s="43">
        <v>0.05</v>
      </c>
      <c r="K6" s="28"/>
      <c r="L6" s="1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36" t="s">
        <v>55</v>
      </c>
      <c r="C7" s="6"/>
      <c r="D7" s="43">
        <f>D6/D4</f>
        <v>1</v>
      </c>
      <c r="E7" s="1"/>
      <c r="F7" s="37" t="s">
        <v>56</v>
      </c>
      <c r="G7" s="11">
        <f>IFERROR(G5/(G6-G4),0)</f>
        <v>0</v>
      </c>
      <c r="H7" s="27"/>
      <c r="I7" s="27"/>
      <c r="J7" s="1"/>
      <c r="K7" s="28"/>
      <c r="L7" s="1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36" t="s">
        <v>84</v>
      </c>
      <c r="C8" s="6"/>
      <c r="D8" s="41">
        <v>7.0</v>
      </c>
      <c r="E8" s="15"/>
      <c r="F8" s="37" t="s">
        <v>57</v>
      </c>
      <c r="G8" s="45" t="str">
        <f>IF(G6=0,"",J8*G6)</f>
        <v/>
      </c>
      <c r="H8" s="27"/>
      <c r="I8" s="32" t="s">
        <v>58</v>
      </c>
      <c r="J8" s="46">
        <f>IFERROR(__xludf.DUMMYFUNCTION("IFERROR(CHOOSEROWS(FILTER(D13:D161, LEN(D13:D161) &gt; 0, D13:D161 &lt;&gt; 0), -1), 0)"),0.0)</f>
        <v>0</v>
      </c>
      <c r="K8" s="28"/>
      <c r="L8" s="1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27"/>
      <c r="I9" s="27"/>
      <c r="J9" s="1"/>
      <c r="K9" s="28"/>
      <c r="L9" s="1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.0" customHeight="1">
      <c r="A10" s="1"/>
      <c r="B10" s="47" t="s">
        <v>59</v>
      </c>
      <c r="C10" s="47" t="s">
        <v>60</v>
      </c>
      <c r="D10" s="48" t="s">
        <v>61</v>
      </c>
      <c r="E10" s="6"/>
      <c r="F10" s="47" t="s">
        <v>62</v>
      </c>
      <c r="G10" s="47" t="s">
        <v>63</v>
      </c>
      <c r="H10" s="49" t="s">
        <v>64</v>
      </c>
      <c r="I10" s="49" t="s">
        <v>65</v>
      </c>
      <c r="J10" s="48" t="s">
        <v>2</v>
      </c>
      <c r="K10" s="6"/>
      <c r="L10" s="48" t="s">
        <v>23</v>
      </c>
      <c r="M10" s="6"/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1"/>
      <c r="W10" s="1"/>
      <c r="X10" s="1"/>
      <c r="Y10" s="1"/>
      <c r="Z10" s="1"/>
      <c r="AA10" s="1"/>
      <c r="AB10" s="1"/>
      <c r="AC10" s="1"/>
      <c r="AD10" s="1"/>
    </row>
    <row r="11" ht="20.25" customHeight="1">
      <c r="A11" s="1"/>
      <c r="B11" s="50"/>
      <c r="C11" s="50"/>
      <c r="D11" s="51" t="s">
        <v>74</v>
      </c>
      <c r="E11" s="51" t="s">
        <v>75</v>
      </c>
      <c r="F11" s="50"/>
      <c r="G11" s="50"/>
      <c r="H11" s="50"/>
      <c r="I11" s="50"/>
      <c r="J11" s="51" t="s">
        <v>76</v>
      </c>
      <c r="K11" s="52" t="s">
        <v>77</v>
      </c>
      <c r="L11" s="51" t="s">
        <v>78</v>
      </c>
      <c r="M11" s="52" t="s">
        <v>77</v>
      </c>
      <c r="N11" s="50"/>
      <c r="O11" s="50"/>
      <c r="P11" s="50"/>
      <c r="Q11" s="50"/>
      <c r="R11" s="50"/>
      <c r="S11" s="50"/>
      <c r="T11" s="50"/>
      <c r="U11" s="50"/>
      <c r="V11" s="1"/>
      <c r="W11" s="1"/>
      <c r="X11" s="1"/>
      <c r="Y11" s="1"/>
      <c r="Z11" s="1"/>
      <c r="AA11" s="1"/>
      <c r="AB11" s="1"/>
      <c r="AC11" s="1"/>
      <c r="AD11" s="1"/>
    </row>
    <row r="12" ht="7.5" customHeight="1">
      <c r="A12" s="1"/>
      <c r="B12" s="7"/>
      <c r="C12" s="7"/>
      <c r="D12" s="46"/>
      <c r="E12" s="46"/>
      <c r="F12" s="8"/>
      <c r="G12" s="8"/>
      <c r="H12" s="38"/>
      <c r="I12" s="38"/>
      <c r="J12" s="53"/>
      <c r="K12" s="54"/>
      <c r="L12" s="7"/>
      <c r="M12" s="54"/>
      <c r="N12" s="54"/>
      <c r="O12" s="33"/>
      <c r="P12" s="33"/>
      <c r="Q12" s="33"/>
      <c r="R12" s="33"/>
      <c r="S12" s="33"/>
      <c r="T12" s="33"/>
      <c r="U12" s="33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5" t="str">
        <f>G2</f>
        <v/>
      </c>
      <c r="B13" s="70">
        <v>1.0</v>
      </c>
      <c r="C13" s="7">
        <v>0.0</v>
      </c>
      <c r="D13" s="56" t="str">
        <f>IF(C13="", "", IF(VLOOKUP(C13, Referensi!$C$5:$E$11, 3, TRUE) &gt; 1, VLOOKUP(C13, Referensi!$C$5:$E$11, 3, TRUE) / 100, VLOOKUP(C13, Referensi!$C$5:$E$11, 3, TRUE)))</f>
        <v>#N/A</v>
      </c>
      <c r="E13" s="56" t="str">
        <f>IF(C13="", "", IF(VLOOKUP(C13, Referensi!$C$5:$F$11, 4, TRUE) &gt; 1, VLOOKUP(C13, Referensi!$C$5:$F$11, 4, TRUE) / 100, VLOOKUP(C13, Referensi!$C$5:$F$11, 4, TRUE)))</f>
        <v>#N/A</v>
      </c>
      <c r="F13" s="8">
        <v>0.0</v>
      </c>
      <c r="G13" s="8">
        <f>$D$4-F13</f>
        <v>5600</v>
      </c>
      <c r="H13" s="38">
        <f>C13*G13</f>
        <v>0</v>
      </c>
      <c r="I13" s="8">
        <v>0.0</v>
      </c>
      <c r="J13" s="57">
        <f t="shared" ref="J13:J164" si="1">I13*$J$6</f>
        <v>0</v>
      </c>
      <c r="K13" s="58">
        <f t="shared" ref="K13:K164" si="2">I13*$J$5</f>
        <v>0</v>
      </c>
      <c r="L13" s="7">
        <v>0.0</v>
      </c>
      <c r="M13" s="58">
        <f t="shared" ref="M13:M164" si="3">L13*37%</f>
        <v>0</v>
      </c>
      <c r="N13" s="58" t="str">
        <f t="shared" ref="N13:N164" si="4">IF(J13=0,"", (K13+M13)/J13)</f>
        <v/>
      </c>
      <c r="O13" s="33"/>
      <c r="P13" s="33"/>
      <c r="Q13" s="33"/>
      <c r="R13" s="33"/>
      <c r="S13" s="33"/>
      <c r="T13" s="33"/>
      <c r="U13" s="33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70">
        <v>2.0</v>
      </c>
      <c r="C14" s="7">
        <v>0.0</v>
      </c>
      <c r="D14" s="56" t="str">
        <f>IF(C14="", "", IF(VLOOKUP(C14, Referensi!$C$5:$E$11, 3, TRUE) &gt; 1, VLOOKUP(C14, Referensi!$C$5:$E$11, 3, TRUE) / 100, VLOOKUP(C14, Referensi!$C$5:$E$11, 3, TRUE)))</f>
        <v>#N/A</v>
      </c>
      <c r="E14" s="56" t="str">
        <f>IF(C14="", "", IF(VLOOKUP(C14, Referensi!$C$5:$F$11, 4, TRUE) &gt; 1, VLOOKUP(C14, Referensi!$C$5:$F$11, 4, TRUE) / 100, VLOOKUP(C14, Referensi!$C$5:$F$11, 4, TRUE)))</f>
        <v>#N/A</v>
      </c>
      <c r="F14" s="8">
        <v>0.0</v>
      </c>
      <c r="G14" s="8">
        <f t="shared" ref="G14:G164" si="5">IF(C14="","",G13-F14)</f>
        <v>5600</v>
      </c>
      <c r="H14" s="38">
        <f t="shared" ref="H14:H164" si="6">IF(C14="","", C14*G14)</f>
        <v>0</v>
      </c>
      <c r="I14" s="8">
        <v>0.0</v>
      </c>
      <c r="J14" s="57">
        <f t="shared" si="1"/>
        <v>0</v>
      </c>
      <c r="K14" s="58">
        <f t="shared" si="2"/>
        <v>0</v>
      </c>
      <c r="L14" s="33"/>
      <c r="M14" s="58">
        <f t="shared" si="3"/>
        <v>0</v>
      </c>
      <c r="N14" s="58" t="str">
        <f t="shared" si="4"/>
        <v/>
      </c>
      <c r="O14" s="33"/>
      <c r="P14" s="7">
        <v>8.6</v>
      </c>
      <c r="Q14" s="33"/>
      <c r="R14" s="7">
        <v>6.8</v>
      </c>
      <c r="S14" s="7">
        <v>30.3</v>
      </c>
      <c r="T14" s="33"/>
      <c r="U14" s="33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7">
        <v>3.0</v>
      </c>
      <c r="C15" s="33"/>
      <c r="D15" s="56" t="str">
        <f>IF(C15="", "", IF(VLOOKUP(C15, Referensi!$C$5:$E$11, 3, TRUE) &gt; 1, VLOOKUP(C15, Referensi!$C$5:$E$11, 3, TRUE) / 100, VLOOKUP(C15, Referensi!$C$5:$E$11, 3, TRUE)))</f>
        <v/>
      </c>
      <c r="E15" s="56" t="str">
        <f>IF(C15="", "", IF(VLOOKUP(C15, Referensi!$C$5:$F$11, 4, TRUE) &gt; 1, VLOOKUP(C15, Referensi!$C$5:$F$11, 4, TRUE) / 100, VLOOKUP(C15, Referensi!$C$5:$F$11, 4, TRUE)))</f>
        <v/>
      </c>
      <c r="F15" s="8"/>
      <c r="G15" s="8" t="str">
        <f t="shared" si="5"/>
        <v/>
      </c>
      <c r="H15" s="38" t="str">
        <f t="shared" si="6"/>
        <v/>
      </c>
      <c r="I15" s="8" t="str">
        <f t="shared" ref="I15:I164" si="7">IF(C15=0,"",AVERAGE(D15:E15)*H15)</f>
        <v/>
      </c>
      <c r="J15" s="57">
        <f t="shared" si="1"/>
        <v>0</v>
      </c>
      <c r="K15" s="58">
        <f t="shared" si="2"/>
        <v>0</v>
      </c>
      <c r="L15" s="33"/>
      <c r="M15" s="58">
        <f t="shared" si="3"/>
        <v>0</v>
      </c>
      <c r="N15" s="58" t="str">
        <f t="shared" si="4"/>
        <v/>
      </c>
      <c r="O15" s="33"/>
      <c r="P15" s="7"/>
      <c r="Q15" s="33"/>
      <c r="R15" s="7"/>
      <c r="S15" s="33"/>
      <c r="T15" s="33"/>
      <c r="U15" s="33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7">
        <v>4.0</v>
      </c>
      <c r="C16" s="33"/>
      <c r="D16" s="56" t="str">
        <f>IF(C16="", "", IF(VLOOKUP(C16, Referensi!$C$5:$E$11, 3, TRUE) &gt; 1, VLOOKUP(C16, Referensi!$C$5:$E$11, 3, TRUE) / 100, VLOOKUP(C16, Referensi!$C$5:$E$11, 3, TRUE)))</f>
        <v/>
      </c>
      <c r="E16" s="56" t="str">
        <f>IF(C16="", "", IF(VLOOKUP(C16, Referensi!$C$5:$F$11, 4, TRUE) &gt; 1, VLOOKUP(C16, Referensi!$C$5:$F$11, 4, TRUE) / 100, VLOOKUP(C16, Referensi!$C$5:$F$11, 4, TRUE)))</f>
        <v/>
      </c>
      <c r="F16" s="8"/>
      <c r="G16" s="8" t="str">
        <f t="shared" si="5"/>
        <v/>
      </c>
      <c r="H16" s="38" t="str">
        <f t="shared" si="6"/>
        <v/>
      </c>
      <c r="I16" s="8" t="str">
        <f t="shared" si="7"/>
        <v/>
      </c>
      <c r="J16" s="57">
        <f t="shared" si="1"/>
        <v>0</v>
      </c>
      <c r="K16" s="58">
        <f t="shared" si="2"/>
        <v>0</v>
      </c>
      <c r="L16" s="33"/>
      <c r="M16" s="58">
        <f t="shared" si="3"/>
        <v>0</v>
      </c>
      <c r="N16" s="58" t="str">
        <f t="shared" si="4"/>
        <v/>
      </c>
      <c r="O16" s="33"/>
      <c r="P16" s="33"/>
      <c r="Q16" s="33"/>
      <c r="R16" s="33"/>
      <c r="S16" s="33"/>
      <c r="T16" s="33"/>
      <c r="U16" s="33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7">
        <v>5.0</v>
      </c>
      <c r="C17" s="33"/>
      <c r="D17" s="56" t="str">
        <f>IF(C17="", "", IF(VLOOKUP(C17, Referensi!$C$5:$E$11, 3, TRUE) &gt; 1, VLOOKUP(C17, Referensi!$C$5:$E$11, 3, TRUE) / 100, VLOOKUP(C17, Referensi!$C$5:$E$11, 3, TRUE)))</f>
        <v/>
      </c>
      <c r="E17" s="56" t="str">
        <f>IF(C17="", "", IF(VLOOKUP(C17, Referensi!$C$5:$F$11, 4, TRUE) &gt; 1, VLOOKUP(C17, Referensi!$C$5:$F$11, 4, TRUE) / 100, VLOOKUP(C17, Referensi!$C$5:$F$11, 4, TRUE)))</f>
        <v/>
      </c>
      <c r="F17" s="38"/>
      <c r="G17" s="8" t="str">
        <f t="shared" si="5"/>
        <v/>
      </c>
      <c r="H17" s="38" t="str">
        <f t="shared" si="6"/>
        <v/>
      </c>
      <c r="I17" s="8" t="str">
        <f t="shared" si="7"/>
        <v/>
      </c>
      <c r="J17" s="57">
        <f t="shared" si="1"/>
        <v>0</v>
      </c>
      <c r="K17" s="58">
        <f t="shared" si="2"/>
        <v>0</v>
      </c>
      <c r="L17" s="33"/>
      <c r="M17" s="58">
        <f t="shared" si="3"/>
        <v>0</v>
      </c>
      <c r="N17" s="58" t="str">
        <f t="shared" si="4"/>
        <v/>
      </c>
      <c r="O17" s="33"/>
      <c r="P17" s="33"/>
      <c r="Q17" s="33"/>
      <c r="R17" s="33"/>
      <c r="S17" s="33"/>
      <c r="T17" s="33"/>
      <c r="U17" s="33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">
        <v>6.0</v>
      </c>
      <c r="C18" s="33"/>
      <c r="D18" s="56" t="str">
        <f>IF(C18="", "", IF(VLOOKUP(C18, Referensi!$C$5:$E$11, 3, TRUE) &gt; 1, VLOOKUP(C18, Referensi!$C$5:$E$11, 3, TRUE) / 100, VLOOKUP(C18, Referensi!$C$5:$E$11, 3, TRUE)))</f>
        <v/>
      </c>
      <c r="E18" s="56" t="str">
        <f>IF(C18="", "", IF(VLOOKUP(C18, Referensi!$C$5:$F$11, 4, TRUE) &gt; 1, VLOOKUP(C18, Referensi!$C$5:$F$11, 4, TRUE) / 100, VLOOKUP(C18, Referensi!$C$5:$F$11, 4, TRUE)))</f>
        <v/>
      </c>
      <c r="F18" s="38"/>
      <c r="G18" s="8" t="str">
        <f t="shared" si="5"/>
        <v/>
      </c>
      <c r="H18" s="38" t="str">
        <f t="shared" si="6"/>
        <v/>
      </c>
      <c r="I18" s="8" t="str">
        <f t="shared" si="7"/>
        <v/>
      </c>
      <c r="J18" s="57">
        <f t="shared" si="1"/>
        <v>0</v>
      </c>
      <c r="K18" s="58">
        <f t="shared" si="2"/>
        <v>0</v>
      </c>
      <c r="L18" s="33"/>
      <c r="M18" s="58">
        <f t="shared" si="3"/>
        <v>0</v>
      </c>
      <c r="N18" s="58" t="str">
        <f t="shared" si="4"/>
        <v/>
      </c>
      <c r="O18" s="33"/>
      <c r="P18" s="33"/>
      <c r="Q18" s="33"/>
      <c r="R18" s="33"/>
      <c r="S18" s="33"/>
      <c r="T18" s="33"/>
      <c r="U18" s="33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7">
        <v>7.0</v>
      </c>
      <c r="C19" s="33"/>
      <c r="D19" s="56" t="str">
        <f>IF(C19="", "", IF(VLOOKUP(C19, Referensi!$C$5:$E$11, 3, TRUE) &gt; 1, VLOOKUP(C19, Referensi!$C$5:$E$11, 3, TRUE) / 100, VLOOKUP(C19, Referensi!$C$5:$E$11, 3, TRUE)))</f>
        <v/>
      </c>
      <c r="E19" s="56" t="str">
        <f>IF(C19="", "", IF(VLOOKUP(C19, Referensi!$C$5:$F$11, 4, TRUE) &gt; 1, VLOOKUP(C19, Referensi!$C$5:$F$11, 4, TRUE) / 100, VLOOKUP(C19, Referensi!$C$5:$F$11, 4, TRUE)))</f>
        <v/>
      </c>
      <c r="F19" s="38"/>
      <c r="G19" s="8" t="str">
        <f t="shared" si="5"/>
        <v/>
      </c>
      <c r="H19" s="38" t="str">
        <f t="shared" si="6"/>
        <v/>
      </c>
      <c r="I19" s="8" t="str">
        <f t="shared" si="7"/>
        <v/>
      </c>
      <c r="J19" s="57">
        <f t="shared" si="1"/>
        <v>0</v>
      </c>
      <c r="K19" s="58">
        <f t="shared" si="2"/>
        <v>0</v>
      </c>
      <c r="L19" s="33"/>
      <c r="M19" s="58">
        <f t="shared" si="3"/>
        <v>0</v>
      </c>
      <c r="N19" s="58" t="str">
        <f t="shared" si="4"/>
        <v/>
      </c>
      <c r="O19" s="33"/>
      <c r="P19" s="33"/>
      <c r="Q19" s="33"/>
      <c r="R19" s="33"/>
      <c r="S19" s="33"/>
      <c r="T19" s="33"/>
      <c r="U19" s="33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0">
        <v>8.0</v>
      </c>
      <c r="C20" s="76"/>
      <c r="D20" s="72" t="str">
        <f>IF(C20="", "", IF(VLOOKUP(C20, Referensi!$C$5:$E$11, 3, TRUE) &gt; 1, VLOOKUP(C20, Referensi!$C$5:$E$11, 3, TRUE) / 100, VLOOKUP(C20, Referensi!$C$5:$E$11, 3, TRUE)))</f>
        <v/>
      </c>
      <c r="E20" s="72" t="str">
        <f>IF(C20="", "", IF(VLOOKUP(C20, Referensi!$C$5:$F$11, 4, TRUE) &gt; 1, VLOOKUP(C20, Referensi!$C$5:$F$11, 4, TRUE) / 100, VLOOKUP(C20, Referensi!$C$5:$F$11, 4, TRUE)))</f>
        <v/>
      </c>
      <c r="F20" s="74"/>
      <c r="G20" s="73" t="str">
        <f t="shared" si="5"/>
        <v/>
      </c>
      <c r="H20" s="74" t="str">
        <f t="shared" si="6"/>
        <v/>
      </c>
      <c r="I20" s="73" t="str">
        <f t="shared" si="7"/>
        <v/>
      </c>
      <c r="J20" s="92">
        <f t="shared" si="1"/>
        <v>0</v>
      </c>
      <c r="K20" s="75">
        <f t="shared" si="2"/>
        <v>0</v>
      </c>
      <c r="L20" s="76"/>
      <c r="M20" s="75">
        <f t="shared" si="3"/>
        <v>0</v>
      </c>
      <c r="N20" s="75" t="str">
        <f t="shared" si="4"/>
        <v/>
      </c>
      <c r="O20" s="7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7">
        <v>9.0</v>
      </c>
      <c r="C21" s="33"/>
      <c r="D21" s="56" t="str">
        <f>IF(C21="", "", IF(VLOOKUP(C21, Referensi!$C$5:$E$11, 3, TRUE) &gt; 1, VLOOKUP(C21, Referensi!$C$5:$E$11, 3, TRUE) / 100, VLOOKUP(C21, Referensi!$C$5:$E$11, 3, TRUE)))</f>
        <v/>
      </c>
      <c r="E21" s="56" t="str">
        <f>IF(C21="", "", IF(VLOOKUP(C21, Referensi!$C$5:$F$11, 4, TRUE) &gt; 1, VLOOKUP(C21, Referensi!$C$5:$F$11, 4, TRUE) / 100, VLOOKUP(C21, Referensi!$C$5:$F$11, 4, TRUE)))</f>
        <v/>
      </c>
      <c r="F21" s="38"/>
      <c r="G21" s="8" t="str">
        <f t="shared" si="5"/>
        <v/>
      </c>
      <c r="H21" s="38" t="str">
        <f t="shared" si="6"/>
        <v/>
      </c>
      <c r="I21" s="8" t="str">
        <f t="shared" si="7"/>
        <v/>
      </c>
      <c r="J21" s="57">
        <f t="shared" si="1"/>
        <v>0</v>
      </c>
      <c r="K21" s="58">
        <f t="shared" si="2"/>
        <v>0</v>
      </c>
      <c r="L21" s="33"/>
      <c r="M21" s="58">
        <f t="shared" si="3"/>
        <v>0</v>
      </c>
      <c r="N21" s="58" t="str">
        <f t="shared" si="4"/>
        <v/>
      </c>
      <c r="O21" s="33"/>
      <c r="P21" s="33"/>
      <c r="Q21" s="33"/>
      <c r="R21" s="33"/>
      <c r="S21" s="33"/>
      <c r="T21" s="33"/>
      <c r="U21" s="3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">
        <v>10.0</v>
      </c>
      <c r="C22" s="33"/>
      <c r="D22" s="56" t="str">
        <f>IF(C22="", "", IF(VLOOKUP(C22, Referensi!$C$5:$E$11, 3, TRUE) &gt; 1, VLOOKUP(C22, Referensi!$C$5:$E$11, 3, TRUE) / 100, VLOOKUP(C22, Referensi!$C$5:$E$11, 3, TRUE)))</f>
        <v/>
      </c>
      <c r="E22" s="56" t="str">
        <f>IF(C22="", "", IF(VLOOKUP(C22, Referensi!$C$5:$F$11, 4, TRUE) &gt; 1, VLOOKUP(C22, Referensi!$C$5:$F$11, 4, TRUE) / 100, VLOOKUP(C22, Referensi!$C$5:$F$11, 4, TRUE)))</f>
        <v/>
      </c>
      <c r="F22" s="38"/>
      <c r="G22" s="8" t="str">
        <f t="shared" si="5"/>
        <v/>
      </c>
      <c r="H22" s="38" t="str">
        <f t="shared" si="6"/>
        <v/>
      </c>
      <c r="I22" s="8" t="str">
        <f t="shared" si="7"/>
        <v/>
      </c>
      <c r="J22" s="57">
        <f t="shared" si="1"/>
        <v>0</v>
      </c>
      <c r="K22" s="58">
        <f t="shared" si="2"/>
        <v>0</v>
      </c>
      <c r="L22" s="33"/>
      <c r="M22" s="58">
        <f t="shared" si="3"/>
        <v>0</v>
      </c>
      <c r="N22" s="58" t="str">
        <f t="shared" si="4"/>
        <v/>
      </c>
      <c r="O22" s="33"/>
      <c r="P22" s="33"/>
      <c r="Q22" s="33"/>
      <c r="R22" s="33"/>
      <c r="S22" s="33"/>
      <c r="T22" s="33"/>
      <c r="U22" s="33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7">
        <v>11.0</v>
      </c>
      <c r="C23" s="33"/>
      <c r="D23" s="56" t="str">
        <f>IF(C23="", "", IF(VLOOKUP(C23, Referensi!$C$5:$E$11, 3, TRUE) &gt; 1, VLOOKUP(C23, Referensi!$C$5:$E$11, 3, TRUE) / 100, VLOOKUP(C23, Referensi!$C$5:$E$11, 3, TRUE)))</f>
        <v/>
      </c>
      <c r="E23" s="56" t="str">
        <f>IF(C23="", "", IF(VLOOKUP(C23, Referensi!$C$5:$F$11, 4, TRUE) &gt; 1, VLOOKUP(C23, Referensi!$C$5:$F$11, 4, TRUE) / 100, VLOOKUP(C23, Referensi!$C$5:$F$11, 4, TRUE)))</f>
        <v/>
      </c>
      <c r="F23" s="38"/>
      <c r="G23" s="8" t="str">
        <f t="shared" si="5"/>
        <v/>
      </c>
      <c r="H23" s="38" t="str">
        <f t="shared" si="6"/>
        <v/>
      </c>
      <c r="I23" s="8" t="str">
        <f t="shared" si="7"/>
        <v/>
      </c>
      <c r="J23" s="57">
        <f t="shared" si="1"/>
        <v>0</v>
      </c>
      <c r="K23" s="58">
        <f t="shared" si="2"/>
        <v>0</v>
      </c>
      <c r="L23" s="33"/>
      <c r="M23" s="58">
        <f t="shared" si="3"/>
        <v>0</v>
      </c>
      <c r="N23" s="58" t="str">
        <f t="shared" si="4"/>
        <v/>
      </c>
      <c r="O23" s="33"/>
      <c r="P23" s="33"/>
      <c r="Q23" s="33"/>
      <c r="R23" s="33"/>
      <c r="S23" s="33"/>
      <c r="T23" s="33"/>
      <c r="U23" s="33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7">
        <v>12.0</v>
      </c>
      <c r="C24" s="33"/>
      <c r="D24" s="56" t="str">
        <f>IF(C24="", "", IF(VLOOKUP(C24, Referensi!$C$5:$E$11, 3, TRUE) &gt; 1, VLOOKUP(C24, Referensi!$C$5:$E$11, 3, TRUE) / 100, VLOOKUP(C24, Referensi!$C$5:$E$11, 3, TRUE)))</f>
        <v/>
      </c>
      <c r="E24" s="56" t="str">
        <f>IF(C24="", "", IF(VLOOKUP(C24, Referensi!$C$5:$F$11, 4, TRUE) &gt; 1, VLOOKUP(C24, Referensi!$C$5:$F$11, 4, TRUE) / 100, VLOOKUP(C24, Referensi!$C$5:$F$11, 4, TRUE)))</f>
        <v/>
      </c>
      <c r="F24" s="33"/>
      <c r="G24" s="8" t="str">
        <f t="shared" si="5"/>
        <v/>
      </c>
      <c r="H24" s="38" t="str">
        <f t="shared" si="6"/>
        <v/>
      </c>
      <c r="I24" s="8" t="str">
        <f t="shared" si="7"/>
        <v/>
      </c>
      <c r="J24" s="57">
        <f t="shared" si="1"/>
        <v>0</v>
      </c>
      <c r="K24" s="58">
        <f t="shared" si="2"/>
        <v>0</v>
      </c>
      <c r="L24" s="33"/>
      <c r="M24" s="58">
        <f t="shared" si="3"/>
        <v>0</v>
      </c>
      <c r="N24" s="58" t="str">
        <f t="shared" si="4"/>
        <v/>
      </c>
      <c r="O24" s="33"/>
      <c r="P24" s="33"/>
      <c r="Q24" s="33"/>
      <c r="R24" s="33"/>
      <c r="S24" s="33"/>
      <c r="T24" s="33"/>
      <c r="U24" s="33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7">
        <v>13.0</v>
      </c>
      <c r="C25" s="33"/>
      <c r="D25" s="56" t="str">
        <f>IF(C25="", "", IF(VLOOKUP(C25, Referensi!$C$5:$E$11, 3, TRUE) &gt; 1, VLOOKUP(C25, Referensi!$C$5:$E$11, 3, TRUE) / 100, VLOOKUP(C25, Referensi!$C$5:$E$11, 3, TRUE)))</f>
        <v/>
      </c>
      <c r="E25" s="56" t="str">
        <f>IF(C25="", "", IF(VLOOKUP(C25, Referensi!$C$5:$F$11, 4, TRUE) &gt; 1, VLOOKUP(C25, Referensi!$C$5:$F$11, 4, TRUE) / 100, VLOOKUP(C25, Referensi!$C$5:$F$11, 4, TRUE)))</f>
        <v/>
      </c>
      <c r="F25" s="33"/>
      <c r="G25" s="8" t="str">
        <f t="shared" si="5"/>
        <v/>
      </c>
      <c r="H25" s="38" t="str">
        <f t="shared" si="6"/>
        <v/>
      </c>
      <c r="I25" s="8" t="str">
        <f t="shared" si="7"/>
        <v/>
      </c>
      <c r="J25" s="57">
        <f t="shared" si="1"/>
        <v>0</v>
      </c>
      <c r="K25" s="58">
        <f t="shared" si="2"/>
        <v>0</v>
      </c>
      <c r="L25" s="33"/>
      <c r="M25" s="58">
        <f t="shared" si="3"/>
        <v>0</v>
      </c>
      <c r="N25" s="58" t="str">
        <f t="shared" si="4"/>
        <v/>
      </c>
      <c r="O25" s="33"/>
      <c r="P25" s="33"/>
      <c r="Q25" s="33"/>
      <c r="R25" s="33"/>
      <c r="S25" s="33"/>
      <c r="T25" s="33"/>
      <c r="U25" s="33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70">
        <v>14.0</v>
      </c>
      <c r="C26" s="76"/>
      <c r="D26" s="72" t="str">
        <f>IF(C26="", "", IF(VLOOKUP(C26, Referensi!$C$5:$E$11, 3, TRUE) &gt; 1, VLOOKUP(C26, Referensi!$C$5:$E$11, 3, TRUE) / 100, VLOOKUP(C26, Referensi!$C$5:$E$11, 3, TRUE)))</f>
        <v/>
      </c>
      <c r="E26" s="72" t="str">
        <f>IF(C26="", "", IF(VLOOKUP(C26, Referensi!$C$5:$F$11, 4, TRUE) &gt; 1, VLOOKUP(C26, Referensi!$C$5:$F$11, 4, TRUE) / 100, VLOOKUP(C26, Referensi!$C$5:$F$11, 4, TRUE)))</f>
        <v/>
      </c>
      <c r="F26" s="76"/>
      <c r="G26" s="73" t="str">
        <f t="shared" si="5"/>
        <v/>
      </c>
      <c r="H26" s="74" t="str">
        <f t="shared" si="6"/>
        <v/>
      </c>
      <c r="I26" s="73" t="str">
        <f t="shared" si="7"/>
        <v/>
      </c>
      <c r="J26" s="92">
        <f t="shared" si="1"/>
        <v>0</v>
      </c>
      <c r="K26" s="75">
        <f t="shared" si="2"/>
        <v>0</v>
      </c>
      <c r="L26" s="76"/>
      <c r="M26" s="75">
        <f t="shared" si="3"/>
        <v>0</v>
      </c>
      <c r="N26" s="75" t="str">
        <f t="shared" si="4"/>
        <v/>
      </c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7">
        <v>15.0</v>
      </c>
      <c r="C27" s="33"/>
      <c r="D27" s="56" t="str">
        <f>IF(C27="", "", IF(VLOOKUP(C27, Referensi!$C$5:$E$11, 3, TRUE) &gt; 1, VLOOKUP(C27, Referensi!$C$5:$E$11, 3, TRUE) / 100, VLOOKUP(C27, Referensi!$C$5:$E$11, 3, TRUE)))</f>
        <v/>
      </c>
      <c r="E27" s="56" t="str">
        <f>IF(C27="", "", IF(VLOOKUP(C27, Referensi!$C$5:$F$11, 4, TRUE) &gt; 1, VLOOKUP(C27, Referensi!$C$5:$F$11, 4, TRUE) / 100, VLOOKUP(C27, Referensi!$C$5:$F$11, 4, TRUE)))</f>
        <v/>
      </c>
      <c r="F27" s="33"/>
      <c r="G27" s="8" t="str">
        <f t="shared" si="5"/>
        <v/>
      </c>
      <c r="H27" s="38" t="str">
        <f t="shared" si="6"/>
        <v/>
      </c>
      <c r="I27" s="8" t="str">
        <f t="shared" si="7"/>
        <v/>
      </c>
      <c r="J27" s="57">
        <f t="shared" si="1"/>
        <v>0</v>
      </c>
      <c r="K27" s="58">
        <f t="shared" si="2"/>
        <v>0</v>
      </c>
      <c r="L27" s="33"/>
      <c r="M27" s="58">
        <f t="shared" si="3"/>
        <v>0</v>
      </c>
      <c r="N27" s="58" t="str">
        <f t="shared" si="4"/>
        <v/>
      </c>
      <c r="O27" s="33"/>
      <c r="P27" s="33"/>
      <c r="Q27" s="33"/>
      <c r="R27" s="33"/>
      <c r="S27" s="33"/>
      <c r="T27" s="33"/>
      <c r="U27" s="33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7">
        <v>16.0</v>
      </c>
      <c r="C28" s="33"/>
      <c r="D28" s="56" t="str">
        <f>IF(C28="", "", IF(VLOOKUP(C28, Referensi!$C$5:$E$11, 3, TRUE) &gt; 1, VLOOKUP(C28, Referensi!$C$5:$E$11, 3, TRUE) / 100, VLOOKUP(C28, Referensi!$C$5:$E$11, 3, TRUE)))</f>
        <v/>
      </c>
      <c r="E28" s="56" t="str">
        <f>IF(C28="", "", IF(VLOOKUP(C28, Referensi!$C$5:$F$11, 4, TRUE) &gt; 1, VLOOKUP(C28, Referensi!$C$5:$F$11, 4, TRUE) / 100, VLOOKUP(C28, Referensi!$C$5:$F$11, 4, TRUE)))</f>
        <v/>
      </c>
      <c r="F28" s="33"/>
      <c r="G28" s="8" t="str">
        <f t="shared" si="5"/>
        <v/>
      </c>
      <c r="H28" s="38" t="str">
        <f t="shared" si="6"/>
        <v/>
      </c>
      <c r="I28" s="8" t="str">
        <f t="shared" si="7"/>
        <v/>
      </c>
      <c r="J28" s="57">
        <f t="shared" si="1"/>
        <v>0</v>
      </c>
      <c r="K28" s="58">
        <f t="shared" si="2"/>
        <v>0</v>
      </c>
      <c r="L28" s="33"/>
      <c r="M28" s="58">
        <f t="shared" si="3"/>
        <v>0</v>
      </c>
      <c r="N28" s="58" t="str">
        <f t="shared" si="4"/>
        <v/>
      </c>
      <c r="O28" s="33"/>
      <c r="P28" s="33"/>
      <c r="Q28" s="33"/>
      <c r="R28" s="33"/>
      <c r="S28" s="33"/>
      <c r="T28" s="33"/>
      <c r="U28" s="33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7">
        <v>17.0</v>
      </c>
      <c r="C29" s="33"/>
      <c r="D29" s="56" t="str">
        <f>IF(C29="", "", IF(VLOOKUP(C29, Referensi!$C$5:$E$11, 3, TRUE) &gt; 1, VLOOKUP(C29, Referensi!$C$5:$E$11, 3, TRUE) / 100, VLOOKUP(C29, Referensi!$C$5:$E$11, 3, TRUE)))</f>
        <v/>
      </c>
      <c r="E29" s="56" t="str">
        <f>IF(C29="", "", IF(VLOOKUP(C29, Referensi!$C$5:$F$11, 4, TRUE) &gt; 1, VLOOKUP(C29, Referensi!$C$5:$F$11, 4, TRUE) / 100, VLOOKUP(C29, Referensi!$C$5:$F$11, 4, TRUE)))</f>
        <v/>
      </c>
      <c r="F29" s="33"/>
      <c r="G29" s="8" t="str">
        <f t="shared" si="5"/>
        <v/>
      </c>
      <c r="H29" s="38" t="str">
        <f t="shared" si="6"/>
        <v/>
      </c>
      <c r="I29" s="8" t="str">
        <f t="shared" si="7"/>
        <v/>
      </c>
      <c r="J29" s="57">
        <f t="shared" si="1"/>
        <v>0</v>
      </c>
      <c r="K29" s="58">
        <f t="shared" si="2"/>
        <v>0</v>
      </c>
      <c r="L29" s="33"/>
      <c r="M29" s="58">
        <f t="shared" si="3"/>
        <v>0</v>
      </c>
      <c r="N29" s="58" t="str">
        <f t="shared" si="4"/>
        <v/>
      </c>
      <c r="O29" s="33"/>
      <c r="P29" s="33"/>
      <c r="Q29" s="33"/>
      <c r="R29" s="33"/>
      <c r="S29" s="33"/>
      <c r="T29" s="33"/>
      <c r="U29" s="33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7">
        <v>18.0</v>
      </c>
      <c r="C30" s="33"/>
      <c r="D30" s="56" t="str">
        <f>IF(C30="", "", IF(VLOOKUP(C30, Referensi!$C$5:$E$11, 3, TRUE) &gt; 1, VLOOKUP(C30, Referensi!$C$5:$E$11, 3, TRUE) / 100, VLOOKUP(C30, Referensi!$C$5:$E$11, 3, TRUE)))</f>
        <v/>
      </c>
      <c r="E30" s="56" t="str">
        <f>IF(C30="", "", IF(VLOOKUP(C30, Referensi!$C$5:$F$11, 4, TRUE) &gt; 1, VLOOKUP(C30, Referensi!$C$5:$F$11, 4, TRUE) / 100, VLOOKUP(C30, Referensi!$C$5:$F$11, 4, TRUE)))</f>
        <v/>
      </c>
      <c r="F30" s="33"/>
      <c r="G30" s="8" t="str">
        <f t="shared" si="5"/>
        <v/>
      </c>
      <c r="H30" s="38" t="str">
        <f t="shared" si="6"/>
        <v/>
      </c>
      <c r="I30" s="8" t="str">
        <f t="shared" si="7"/>
        <v/>
      </c>
      <c r="J30" s="57">
        <f t="shared" si="1"/>
        <v>0</v>
      </c>
      <c r="K30" s="58">
        <f t="shared" si="2"/>
        <v>0</v>
      </c>
      <c r="L30" s="33"/>
      <c r="M30" s="58">
        <f t="shared" si="3"/>
        <v>0</v>
      </c>
      <c r="N30" s="58" t="str">
        <f t="shared" si="4"/>
        <v/>
      </c>
      <c r="O30" s="33"/>
      <c r="P30" s="33"/>
      <c r="Q30" s="33"/>
      <c r="R30" s="33"/>
      <c r="S30" s="33"/>
      <c r="T30" s="33"/>
      <c r="U30" s="33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>
        <v>19.0</v>
      </c>
      <c r="C31" s="33"/>
      <c r="D31" s="56" t="str">
        <f>IF(C31="", "", IF(VLOOKUP(C31, Referensi!$C$5:$E$11, 3, TRUE) &gt; 1, VLOOKUP(C31, Referensi!$C$5:$E$11, 3, TRUE) / 100, VLOOKUP(C31, Referensi!$C$5:$E$11, 3, TRUE)))</f>
        <v/>
      </c>
      <c r="E31" s="56" t="str">
        <f>IF(C31="", "", IF(VLOOKUP(C31, Referensi!$C$5:$F$11, 4, TRUE) &gt; 1, VLOOKUP(C31, Referensi!$C$5:$F$11, 4, TRUE) / 100, VLOOKUP(C31, Referensi!$C$5:$F$11, 4, TRUE)))</f>
        <v/>
      </c>
      <c r="F31" s="33"/>
      <c r="G31" s="8" t="str">
        <f t="shared" si="5"/>
        <v/>
      </c>
      <c r="H31" s="38" t="str">
        <f t="shared" si="6"/>
        <v/>
      </c>
      <c r="I31" s="8" t="str">
        <f t="shared" si="7"/>
        <v/>
      </c>
      <c r="J31" s="57">
        <f t="shared" si="1"/>
        <v>0</v>
      </c>
      <c r="K31" s="58">
        <f t="shared" si="2"/>
        <v>0</v>
      </c>
      <c r="L31" s="33"/>
      <c r="M31" s="58">
        <f t="shared" si="3"/>
        <v>0</v>
      </c>
      <c r="N31" s="58" t="str">
        <f t="shared" si="4"/>
        <v/>
      </c>
      <c r="O31" s="33"/>
      <c r="P31" s="33"/>
      <c r="Q31" s="33"/>
      <c r="R31" s="33"/>
      <c r="S31" s="33"/>
      <c r="T31" s="33"/>
      <c r="U31" s="33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7">
        <v>20.0</v>
      </c>
      <c r="C32" s="33"/>
      <c r="D32" s="56" t="str">
        <f>IF(C32="", "", IF(VLOOKUP(C32, Referensi!$C$5:$E$11, 3, TRUE) &gt; 1, VLOOKUP(C32, Referensi!$C$5:$E$11, 3, TRUE) / 100, VLOOKUP(C32, Referensi!$C$5:$E$11, 3, TRUE)))</f>
        <v/>
      </c>
      <c r="E32" s="56" t="str">
        <f>IF(C32="", "", IF(VLOOKUP(C32, Referensi!$C$5:$F$11, 4, TRUE) &gt; 1, VLOOKUP(C32, Referensi!$C$5:$F$11, 4, TRUE) / 100, VLOOKUP(C32, Referensi!$C$5:$F$11, 4, TRUE)))</f>
        <v/>
      </c>
      <c r="F32" s="33"/>
      <c r="G32" s="8" t="str">
        <f t="shared" si="5"/>
        <v/>
      </c>
      <c r="H32" s="38" t="str">
        <f t="shared" si="6"/>
        <v/>
      </c>
      <c r="I32" s="8" t="str">
        <f t="shared" si="7"/>
        <v/>
      </c>
      <c r="J32" s="57">
        <f t="shared" si="1"/>
        <v>0</v>
      </c>
      <c r="K32" s="58">
        <f t="shared" si="2"/>
        <v>0</v>
      </c>
      <c r="L32" s="33"/>
      <c r="M32" s="58">
        <f t="shared" si="3"/>
        <v>0</v>
      </c>
      <c r="N32" s="58" t="str">
        <f t="shared" si="4"/>
        <v/>
      </c>
      <c r="O32" s="33"/>
      <c r="P32" s="33"/>
      <c r="Q32" s="33"/>
      <c r="R32" s="33"/>
      <c r="S32" s="33"/>
      <c r="T32" s="33"/>
      <c r="U32" s="33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7">
        <v>21.0</v>
      </c>
      <c r="C33" s="33"/>
      <c r="D33" s="56" t="str">
        <f>IF(C33="", "", IF(VLOOKUP(C33, Referensi!$C$5:$E$11, 3, TRUE) &gt; 1, VLOOKUP(C33, Referensi!$C$5:$E$11, 3, TRUE) / 100, VLOOKUP(C33, Referensi!$C$5:$E$11, 3, TRUE)))</f>
        <v/>
      </c>
      <c r="E33" s="56" t="str">
        <f>IF(C33="", "", IF(VLOOKUP(C33, Referensi!$C$5:$F$11, 4, TRUE) &gt; 1, VLOOKUP(C33, Referensi!$C$5:$F$11, 4, TRUE) / 100, VLOOKUP(C33, Referensi!$C$5:$F$11, 4, TRUE)))</f>
        <v/>
      </c>
      <c r="F33" s="33"/>
      <c r="G33" s="8" t="str">
        <f t="shared" si="5"/>
        <v/>
      </c>
      <c r="H33" s="38" t="str">
        <f t="shared" si="6"/>
        <v/>
      </c>
      <c r="I33" s="8" t="str">
        <f t="shared" si="7"/>
        <v/>
      </c>
      <c r="J33" s="57">
        <f t="shared" si="1"/>
        <v>0</v>
      </c>
      <c r="K33" s="58">
        <f t="shared" si="2"/>
        <v>0</v>
      </c>
      <c r="L33" s="33"/>
      <c r="M33" s="58">
        <f t="shared" si="3"/>
        <v>0</v>
      </c>
      <c r="N33" s="58" t="str">
        <f t="shared" si="4"/>
        <v/>
      </c>
      <c r="O33" s="33"/>
      <c r="P33" s="33"/>
      <c r="Q33" s="33"/>
      <c r="R33" s="33"/>
      <c r="S33" s="33"/>
      <c r="T33" s="33"/>
      <c r="U33" s="33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7">
        <v>22.0</v>
      </c>
      <c r="C34" s="33"/>
      <c r="D34" s="56" t="str">
        <f>IF(C34="", "", IF(VLOOKUP(C34, Referensi!$C$5:$E$11, 3, TRUE) &gt; 1, VLOOKUP(C34, Referensi!$C$5:$E$11, 3, TRUE) / 100, VLOOKUP(C34, Referensi!$C$5:$E$11, 3, TRUE)))</f>
        <v/>
      </c>
      <c r="E34" s="56" t="str">
        <f>IF(C34="", "", IF(VLOOKUP(C34, Referensi!$C$5:$F$11, 4, TRUE) &gt; 1, VLOOKUP(C34, Referensi!$C$5:$F$11, 4, TRUE) / 100, VLOOKUP(C34, Referensi!$C$5:$F$11, 4, TRUE)))</f>
        <v/>
      </c>
      <c r="F34" s="33"/>
      <c r="G34" s="8" t="str">
        <f t="shared" si="5"/>
        <v/>
      </c>
      <c r="H34" s="38" t="str">
        <f t="shared" si="6"/>
        <v/>
      </c>
      <c r="I34" s="8" t="str">
        <f t="shared" si="7"/>
        <v/>
      </c>
      <c r="J34" s="57">
        <f t="shared" si="1"/>
        <v>0</v>
      </c>
      <c r="K34" s="58">
        <f t="shared" si="2"/>
        <v>0</v>
      </c>
      <c r="L34" s="33"/>
      <c r="M34" s="58">
        <f t="shared" si="3"/>
        <v>0</v>
      </c>
      <c r="N34" s="58" t="str">
        <f t="shared" si="4"/>
        <v/>
      </c>
      <c r="O34" s="33"/>
      <c r="P34" s="33"/>
      <c r="Q34" s="33"/>
      <c r="R34" s="33"/>
      <c r="S34" s="33"/>
      <c r="T34" s="33"/>
      <c r="U34" s="33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7">
        <v>23.0</v>
      </c>
      <c r="C35" s="33"/>
      <c r="D35" s="56" t="str">
        <f>IF(C35="", "", IF(VLOOKUP(C35, Referensi!$C$5:$E$11, 3, TRUE) &gt; 1, VLOOKUP(C35, Referensi!$C$5:$E$11, 3, TRUE) / 100, VLOOKUP(C35, Referensi!$C$5:$E$11, 3, TRUE)))</f>
        <v/>
      </c>
      <c r="E35" s="56" t="str">
        <f>IF(C35="", "", IF(VLOOKUP(C35, Referensi!$C$5:$F$11, 4, TRUE) &gt; 1, VLOOKUP(C35, Referensi!$C$5:$F$11, 4, TRUE) / 100, VLOOKUP(C35, Referensi!$C$5:$F$11, 4, TRUE)))</f>
        <v/>
      </c>
      <c r="F35" s="33"/>
      <c r="G35" s="8" t="str">
        <f t="shared" si="5"/>
        <v/>
      </c>
      <c r="H35" s="38" t="str">
        <f t="shared" si="6"/>
        <v/>
      </c>
      <c r="I35" s="8" t="str">
        <f t="shared" si="7"/>
        <v/>
      </c>
      <c r="J35" s="57">
        <f t="shared" si="1"/>
        <v>0</v>
      </c>
      <c r="K35" s="58">
        <f t="shared" si="2"/>
        <v>0</v>
      </c>
      <c r="L35" s="33"/>
      <c r="M35" s="58">
        <f t="shared" si="3"/>
        <v>0</v>
      </c>
      <c r="N35" s="58" t="str">
        <f t="shared" si="4"/>
        <v/>
      </c>
      <c r="O35" s="33"/>
      <c r="P35" s="33"/>
      <c r="Q35" s="33"/>
      <c r="R35" s="33"/>
      <c r="S35" s="33"/>
      <c r="T35" s="33"/>
      <c r="U35" s="33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7">
        <v>24.0</v>
      </c>
      <c r="C36" s="33"/>
      <c r="D36" s="56" t="str">
        <f>IF(C36="", "", IF(VLOOKUP(C36, Referensi!$C$5:$E$11, 3, TRUE) &gt; 1, VLOOKUP(C36, Referensi!$C$5:$E$11, 3, TRUE) / 100, VLOOKUP(C36, Referensi!$C$5:$E$11, 3, TRUE)))</f>
        <v/>
      </c>
      <c r="E36" s="56" t="str">
        <f>IF(C36="", "", IF(VLOOKUP(C36, Referensi!$C$5:$F$11, 4, TRUE) &gt; 1, VLOOKUP(C36, Referensi!$C$5:$F$11, 4, TRUE) / 100, VLOOKUP(C36, Referensi!$C$5:$F$11, 4, TRUE)))</f>
        <v/>
      </c>
      <c r="F36" s="33"/>
      <c r="G36" s="8" t="str">
        <f t="shared" si="5"/>
        <v/>
      </c>
      <c r="H36" s="38" t="str">
        <f t="shared" si="6"/>
        <v/>
      </c>
      <c r="I36" s="8" t="str">
        <f t="shared" si="7"/>
        <v/>
      </c>
      <c r="J36" s="57">
        <f t="shared" si="1"/>
        <v>0</v>
      </c>
      <c r="K36" s="58">
        <f t="shared" si="2"/>
        <v>0</v>
      </c>
      <c r="L36" s="33"/>
      <c r="M36" s="58">
        <f t="shared" si="3"/>
        <v>0</v>
      </c>
      <c r="N36" s="58" t="str">
        <f t="shared" si="4"/>
        <v/>
      </c>
      <c r="O36" s="33"/>
      <c r="P36" s="33"/>
      <c r="Q36" s="33"/>
      <c r="R36" s="33"/>
      <c r="S36" s="33"/>
      <c r="T36" s="33"/>
      <c r="U36" s="33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7">
        <v>25.0</v>
      </c>
      <c r="C37" s="33"/>
      <c r="D37" s="56" t="str">
        <f>IF(C37="", "", IF(VLOOKUP(C37, Referensi!$C$5:$E$11, 3, TRUE) &gt; 1, VLOOKUP(C37, Referensi!$C$5:$E$11, 3, TRUE) / 100, VLOOKUP(C37, Referensi!$C$5:$E$11, 3, TRUE)))</f>
        <v/>
      </c>
      <c r="E37" s="56" t="str">
        <f>IF(C37="", "", IF(VLOOKUP(C37, Referensi!$C$5:$F$11, 4, TRUE) &gt; 1, VLOOKUP(C37, Referensi!$C$5:$F$11, 4, TRUE) / 100, VLOOKUP(C37, Referensi!$C$5:$F$11, 4, TRUE)))</f>
        <v/>
      </c>
      <c r="F37" s="33"/>
      <c r="G37" s="8" t="str">
        <f t="shared" si="5"/>
        <v/>
      </c>
      <c r="H37" s="38" t="str">
        <f t="shared" si="6"/>
        <v/>
      </c>
      <c r="I37" s="8" t="str">
        <f t="shared" si="7"/>
        <v/>
      </c>
      <c r="J37" s="57">
        <f t="shared" si="1"/>
        <v>0</v>
      </c>
      <c r="K37" s="58">
        <f t="shared" si="2"/>
        <v>0</v>
      </c>
      <c r="L37" s="33"/>
      <c r="M37" s="58">
        <f t="shared" si="3"/>
        <v>0</v>
      </c>
      <c r="N37" s="58" t="str">
        <f t="shared" si="4"/>
        <v/>
      </c>
      <c r="O37" s="33"/>
      <c r="P37" s="33"/>
      <c r="Q37" s="33"/>
      <c r="R37" s="33"/>
      <c r="S37" s="33"/>
      <c r="T37" s="33"/>
      <c r="U37" s="33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7">
        <v>26.0</v>
      </c>
      <c r="C38" s="33"/>
      <c r="D38" s="56" t="str">
        <f>IF(C38="", "", IF(VLOOKUP(C38, Referensi!$C$5:$E$11, 3, TRUE) &gt; 1, VLOOKUP(C38, Referensi!$C$5:$E$11, 3, TRUE) / 100, VLOOKUP(C38, Referensi!$C$5:$E$11, 3, TRUE)))</f>
        <v/>
      </c>
      <c r="E38" s="56" t="str">
        <f>IF(C38="", "", IF(VLOOKUP(C38, Referensi!$C$5:$F$11, 4, TRUE) &gt; 1, VLOOKUP(C38, Referensi!$C$5:$F$11, 4, TRUE) / 100, VLOOKUP(C38, Referensi!$C$5:$F$11, 4, TRUE)))</f>
        <v/>
      </c>
      <c r="F38" s="33"/>
      <c r="G38" s="8" t="str">
        <f t="shared" si="5"/>
        <v/>
      </c>
      <c r="H38" s="38" t="str">
        <f t="shared" si="6"/>
        <v/>
      </c>
      <c r="I38" s="8" t="str">
        <f t="shared" si="7"/>
        <v/>
      </c>
      <c r="J38" s="57">
        <f t="shared" si="1"/>
        <v>0</v>
      </c>
      <c r="K38" s="58">
        <f t="shared" si="2"/>
        <v>0</v>
      </c>
      <c r="L38" s="33"/>
      <c r="M38" s="58">
        <f t="shared" si="3"/>
        <v>0</v>
      </c>
      <c r="N38" s="58" t="str">
        <f t="shared" si="4"/>
        <v/>
      </c>
      <c r="O38" s="33"/>
      <c r="P38" s="33"/>
      <c r="Q38" s="33"/>
      <c r="R38" s="33"/>
      <c r="S38" s="33"/>
      <c r="T38" s="33"/>
      <c r="U38" s="33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7">
        <v>27.0</v>
      </c>
      <c r="C39" s="33"/>
      <c r="D39" s="56" t="str">
        <f>IF(C39="", "", IF(VLOOKUP(C39, Referensi!$C$5:$E$11, 3, TRUE) &gt; 1, VLOOKUP(C39, Referensi!$C$5:$E$11, 3, TRUE) / 100, VLOOKUP(C39, Referensi!$C$5:$E$11, 3, TRUE)))</f>
        <v/>
      </c>
      <c r="E39" s="56" t="str">
        <f>IF(C39="", "", IF(VLOOKUP(C39, Referensi!$C$5:$F$11, 4, TRUE) &gt; 1, VLOOKUP(C39, Referensi!$C$5:$F$11, 4, TRUE) / 100, VLOOKUP(C39, Referensi!$C$5:$F$11, 4, TRUE)))</f>
        <v/>
      </c>
      <c r="F39" s="33"/>
      <c r="G39" s="8" t="str">
        <f t="shared" si="5"/>
        <v/>
      </c>
      <c r="H39" s="38" t="str">
        <f t="shared" si="6"/>
        <v/>
      </c>
      <c r="I39" s="8" t="str">
        <f t="shared" si="7"/>
        <v/>
      </c>
      <c r="J39" s="57">
        <f t="shared" si="1"/>
        <v>0</v>
      </c>
      <c r="K39" s="58">
        <f t="shared" si="2"/>
        <v>0</v>
      </c>
      <c r="L39" s="33"/>
      <c r="M39" s="58">
        <f t="shared" si="3"/>
        <v>0</v>
      </c>
      <c r="N39" s="58" t="str">
        <f t="shared" si="4"/>
        <v/>
      </c>
      <c r="O39" s="33"/>
      <c r="P39" s="33"/>
      <c r="Q39" s="33"/>
      <c r="R39" s="33"/>
      <c r="S39" s="33"/>
      <c r="T39" s="33"/>
      <c r="U39" s="33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7">
        <v>28.0</v>
      </c>
      <c r="C40" s="33"/>
      <c r="D40" s="56" t="str">
        <f>IF(C40="", "", IF(VLOOKUP(C40, Referensi!$C$5:$E$11, 3, TRUE) &gt; 1, VLOOKUP(C40, Referensi!$C$5:$E$11, 3, TRUE) / 100, VLOOKUP(C40, Referensi!$C$5:$E$11, 3, TRUE)))</f>
        <v/>
      </c>
      <c r="E40" s="56" t="str">
        <f>IF(C40="", "", IF(VLOOKUP(C40, Referensi!$C$5:$F$11, 4, TRUE) &gt; 1, VLOOKUP(C40, Referensi!$C$5:$F$11, 4, TRUE) / 100, VLOOKUP(C40, Referensi!$C$5:$F$11, 4, TRUE)))</f>
        <v/>
      </c>
      <c r="F40" s="33"/>
      <c r="G40" s="8" t="str">
        <f t="shared" si="5"/>
        <v/>
      </c>
      <c r="H40" s="38" t="str">
        <f t="shared" si="6"/>
        <v/>
      </c>
      <c r="I40" s="8" t="str">
        <f t="shared" si="7"/>
        <v/>
      </c>
      <c r="J40" s="57">
        <f t="shared" si="1"/>
        <v>0</v>
      </c>
      <c r="K40" s="58">
        <f t="shared" si="2"/>
        <v>0</v>
      </c>
      <c r="L40" s="33"/>
      <c r="M40" s="58">
        <f t="shared" si="3"/>
        <v>0</v>
      </c>
      <c r="N40" s="58" t="str">
        <f t="shared" si="4"/>
        <v/>
      </c>
      <c r="O40" s="33"/>
      <c r="P40" s="33"/>
      <c r="Q40" s="33"/>
      <c r="R40" s="33"/>
      <c r="S40" s="33"/>
      <c r="T40" s="33"/>
      <c r="U40" s="33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7">
        <v>29.0</v>
      </c>
      <c r="C41" s="33"/>
      <c r="D41" s="56" t="str">
        <f>IF(C41="", "", IF(VLOOKUP(C41, Referensi!$C$5:$E$11, 3, TRUE) &gt; 1, VLOOKUP(C41, Referensi!$C$5:$E$11, 3, TRUE) / 100, VLOOKUP(C41, Referensi!$C$5:$E$11, 3, TRUE)))</f>
        <v/>
      </c>
      <c r="E41" s="56" t="str">
        <f>IF(C41="", "", IF(VLOOKUP(C41, Referensi!$C$5:$F$11, 4, TRUE) &gt; 1, VLOOKUP(C41, Referensi!$C$5:$F$11, 4, TRUE) / 100, VLOOKUP(C41, Referensi!$C$5:$F$11, 4, TRUE)))</f>
        <v/>
      </c>
      <c r="F41" s="33"/>
      <c r="G41" s="8" t="str">
        <f t="shared" si="5"/>
        <v/>
      </c>
      <c r="H41" s="38" t="str">
        <f t="shared" si="6"/>
        <v/>
      </c>
      <c r="I41" s="8" t="str">
        <f t="shared" si="7"/>
        <v/>
      </c>
      <c r="J41" s="57">
        <f t="shared" si="1"/>
        <v>0</v>
      </c>
      <c r="K41" s="58">
        <f t="shared" si="2"/>
        <v>0</v>
      </c>
      <c r="L41" s="33"/>
      <c r="M41" s="58">
        <f t="shared" si="3"/>
        <v>0</v>
      </c>
      <c r="N41" s="58" t="str">
        <f t="shared" si="4"/>
        <v/>
      </c>
      <c r="O41" s="33"/>
      <c r="P41" s="33"/>
      <c r="Q41" s="33"/>
      <c r="R41" s="33"/>
      <c r="S41" s="33"/>
      <c r="T41" s="33"/>
      <c r="U41" s="33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7">
        <v>30.0</v>
      </c>
      <c r="C42" s="33"/>
      <c r="D42" s="56" t="str">
        <f>IF(C42="", "", IF(VLOOKUP(C42, Referensi!$C$5:$E$11, 3, TRUE) &gt; 1, VLOOKUP(C42, Referensi!$C$5:$E$11, 3, TRUE) / 100, VLOOKUP(C42, Referensi!$C$5:$E$11, 3, TRUE)))</f>
        <v/>
      </c>
      <c r="E42" s="56" t="str">
        <f>IF(C42="", "", IF(VLOOKUP(C42, Referensi!$C$5:$F$11, 4, TRUE) &gt; 1, VLOOKUP(C42, Referensi!$C$5:$F$11, 4, TRUE) / 100, VLOOKUP(C42, Referensi!$C$5:$F$11, 4, TRUE)))</f>
        <v/>
      </c>
      <c r="F42" s="33"/>
      <c r="G42" s="8" t="str">
        <f t="shared" si="5"/>
        <v/>
      </c>
      <c r="H42" s="38" t="str">
        <f t="shared" si="6"/>
        <v/>
      </c>
      <c r="I42" s="8" t="str">
        <f t="shared" si="7"/>
        <v/>
      </c>
      <c r="J42" s="57">
        <f t="shared" si="1"/>
        <v>0</v>
      </c>
      <c r="K42" s="58">
        <f t="shared" si="2"/>
        <v>0</v>
      </c>
      <c r="L42" s="33"/>
      <c r="M42" s="58">
        <f t="shared" si="3"/>
        <v>0</v>
      </c>
      <c r="N42" s="58" t="str">
        <f t="shared" si="4"/>
        <v/>
      </c>
      <c r="O42" s="33"/>
      <c r="P42" s="33"/>
      <c r="Q42" s="33"/>
      <c r="R42" s="33"/>
      <c r="S42" s="33"/>
      <c r="T42" s="33"/>
      <c r="U42" s="33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7">
        <v>31.0</v>
      </c>
      <c r="C43" s="33"/>
      <c r="D43" s="56" t="str">
        <f>IF(C43="", "", IF(VLOOKUP(C43, Referensi!$C$5:$E$11, 3, TRUE) &gt; 1, VLOOKUP(C43, Referensi!$C$5:$E$11, 3, TRUE) / 100, VLOOKUP(C43, Referensi!$C$5:$E$11, 3, TRUE)))</f>
        <v/>
      </c>
      <c r="E43" s="56" t="str">
        <f>IF(C43="", "", IF(VLOOKUP(C43, Referensi!$C$5:$F$11, 4, TRUE) &gt; 1, VLOOKUP(C43, Referensi!$C$5:$F$11, 4, TRUE) / 100, VLOOKUP(C43, Referensi!$C$5:$F$11, 4, TRUE)))</f>
        <v/>
      </c>
      <c r="F43" s="33"/>
      <c r="G43" s="8" t="str">
        <f t="shared" si="5"/>
        <v/>
      </c>
      <c r="H43" s="38" t="str">
        <f t="shared" si="6"/>
        <v/>
      </c>
      <c r="I43" s="8" t="str">
        <f t="shared" si="7"/>
        <v/>
      </c>
      <c r="J43" s="57">
        <f t="shared" si="1"/>
        <v>0</v>
      </c>
      <c r="K43" s="58">
        <f t="shared" si="2"/>
        <v>0</v>
      </c>
      <c r="L43" s="33"/>
      <c r="M43" s="58">
        <f t="shared" si="3"/>
        <v>0</v>
      </c>
      <c r="N43" s="58" t="str">
        <f t="shared" si="4"/>
        <v/>
      </c>
      <c r="O43" s="33"/>
      <c r="P43" s="33"/>
      <c r="Q43" s="33"/>
      <c r="R43" s="33"/>
      <c r="S43" s="33"/>
      <c r="T43" s="33"/>
      <c r="U43" s="33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7">
        <v>32.0</v>
      </c>
      <c r="C44" s="33"/>
      <c r="D44" s="56" t="str">
        <f>IF(C44="", "", IF(VLOOKUP(C44, Referensi!$C$5:$E$11, 3, TRUE) &gt; 1, VLOOKUP(C44, Referensi!$C$5:$E$11, 3, TRUE) / 100, VLOOKUP(C44, Referensi!$C$5:$E$11, 3, TRUE)))</f>
        <v/>
      </c>
      <c r="E44" s="56" t="str">
        <f>IF(C44="", "", IF(VLOOKUP(C44, Referensi!$C$5:$F$11, 4, TRUE) &gt; 1, VLOOKUP(C44, Referensi!$C$5:$F$11, 4, TRUE) / 100, VLOOKUP(C44, Referensi!$C$5:$F$11, 4, TRUE)))</f>
        <v/>
      </c>
      <c r="F44" s="33"/>
      <c r="G44" s="8" t="str">
        <f t="shared" si="5"/>
        <v/>
      </c>
      <c r="H44" s="38" t="str">
        <f t="shared" si="6"/>
        <v/>
      </c>
      <c r="I44" s="8" t="str">
        <f t="shared" si="7"/>
        <v/>
      </c>
      <c r="J44" s="57">
        <f t="shared" si="1"/>
        <v>0</v>
      </c>
      <c r="K44" s="58">
        <f t="shared" si="2"/>
        <v>0</v>
      </c>
      <c r="L44" s="33"/>
      <c r="M44" s="58">
        <f t="shared" si="3"/>
        <v>0</v>
      </c>
      <c r="N44" s="58" t="str">
        <f t="shared" si="4"/>
        <v/>
      </c>
      <c r="O44" s="33"/>
      <c r="P44" s="33"/>
      <c r="Q44" s="33"/>
      <c r="R44" s="33"/>
      <c r="S44" s="33"/>
      <c r="T44" s="33"/>
      <c r="U44" s="33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7">
        <v>33.0</v>
      </c>
      <c r="C45" s="33"/>
      <c r="D45" s="56" t="str">
        <f>IF(C45="", "", IF(VLOOKUP(C45, Referensi!$C$5:$E$11, 3, TRUE) &gt; 1, VLOOKUP(C45, Referensi!$C$5:$E$11, 3, TRUE) / 100, VLOOKUP(C45, Referensi!$C$5:$E$11, 3, TRUE)))</f>
        <v/>
      </c>
      <c r="E45" s="56" t="str">
        <f>IF(C45="", "", IF(VLOOKUP(C45, Referensi!$C$5:$F$11, 4, TRUE) &gt; 1, VLOOKUP(C45, Referensi!$C$5:$F$11, 4, TRUE) / 100, VLOOKUP(C45, Referensi!$C$5:$F$11, 4, TRUE)))</f>
        <v/>
      </c>
      <c r="F45" s="33"/>
      <c r="G45" s="8" t="str">
        <f t="shared" si="5"/>
        <v/>
      </c>
      <c r="H45" s="38" t="str">
        <f t="shared" si="6"/>
        <v/>
      </c>
      <c r="I45" s="8" t="str">
        <f t="shared" si="7"/>
        <v/>
      </c>
      <c r="J45" s="57">
        <f t="shared" si="1"/>
        <v>0</v>
      </c>
      <c r="K45" s="58">
        <f t="shared" si="2"/>
        <v>0</v>
      </c>
      <c r="L45" s="33"/>
      <c r="M45" s="58">
        <f t="shared" si="3"/>
        <v>0</v>
      </c>
      <c r="N45" s="58" t="str">
        <f t="shared" si="4"/>
        <v/>
      </c>
      <c r="O45" s="33"/>
      <c r="P45" s="33"/>
      <c r="Q45" s="33"/>
      <c r="R45" s="33"/>
      <c r="S45" s="33"/>
      <c r="T45" s="33"/>
      <c r="U45" s="33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7">
        <v>34.0</v>
      </c>
      <c r="C46" s="33"/>
      <c r="D46" s="56" t="str">
        <f>IF(C46="", "", IF(VLOOKUP(C46, Referensi!$C$5:$E$11, 3, TRUE) &gt; 1, VLOOKUP(C46, Referensi!$C$5:$E$11, 3, TRUE) / 100, VLOOKUP(C46, Referensi!$C$5:$E$11, 3, TRUE)))</f>
        <v/>
      </c>
      <c r="E46" s="56" t="str">
        <f>IF(C46="", "", IF(VLOOKUP(C46, Referensi!$C$5:$F$11, 4, TRUE) &gt; 1, VLOOKUP(C46, Referensi!$C$5:$F$11, 4, TRUE) / 100, VLOOKUP(C46, Referensi!$C$5:$F$11, 4, TRUE)))</f>
        <v/>
      </c>
      <c r="F46" s="33"/>
      <c r="G46" s="8" t="str">
        <f t="shared" si="5"/>
        <v/>
      </c>
      <c r="H46" s="38" t="str">
        <f t="shared" si="6"/>
        <v/>
      </c>
      <c r="I46" s="8" t="str">
        <f t="shared" si="7"/>
        <v/>
      </c>
      <c r="J46" s="57">
        <f t="shared" si="1"/>
        <v>0</v>
      </c>
      <c r="K46" s="58">
        <f t="shared" si="2"/>
        <v>0</v>
      </c>
      <c r="L46" s="33"/>
      <c r="M46" s="58">
        <f t="shared" si="3"/>
        <v>0</v>
      </c>
      <c r="N46" s="58" t="str">
        <f t="shared" si="4"/>
        <v/>
      </c>
      <c r="O46" s="33"/>
      <c r="P46" s="33"/>
      <c r="Q46" s="33"/>
      <c r="R46" s="33"/>
      <c r="S46" s="33"/>
      <c r="T46" s="33"/>
      <c r="U46" s="33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7">
        <v>35.0</v>
      </c>
      <c r="C47" s="33"/>
      <c r="D47" s="56" t="str">
        <f>IF(C47="", "", IF(VLOOKUP(C47, Referensi!$C$5:$E$11, 3, TRUE) &gt; 1, VLOOKUP(C47, Referensi!$C$5:$E$11, 3, TRUE) / 100, VLOOKUP(C47, Referensi!$C$5:$E$11, 3, TRUE)))</f>
        <v/>
      </c>
      <c r="E47" s="56" t="str">
        <f>IF(C47="", "", IF(VLOOKUP(C47, Referensi!$C$5:$F$11, 4, TRUE) &gt; 1, VLOOKUP(C47, Referensi!$C$5:$F$11, 4, TRUE) / 100, VLOOKUP(C47, Referensi!$C$5:$F$11, 4, TRUE)))</f>
        <v/>
      </c>
      <c r="F47" s="33"/>
      <c r="G47" s="8" t="str">
        <f t="shared" si="5"/>
        <v/>
      </c>
      <c r="H47" s="38" t="str">
        <f t="shared" si="6"/>
        <v/>
      </c>
      <c r="I47" s="8" t="str">
        <f t="shared" si="7"/>
        <v/>
      </c>
      <c r="J47" s="57">
        <f t="shared" si="1"/>
        <v>0</v>
      </c>
      <c r="K47" s="58">
        <f t="shared" si="2"/>
        <v>0</v>
      </c>
      <c r="L47" s="33"/>
      <c r="M47" s="58">
        <f t="shared" si="3"/>
        <v>0</v>
      </c>
      <c r="N47" s="58" t="str">
        <f t="shared" si="4"/>
        <v/>
      </c>
      <c r="O47" s="33"/>
      <c r="P47" s="33"/>
      <c r="Q47" s="33"/>
      <c r="R47" s="33"/>
      <c r="S47" s="33"/>
      <c r="T47" s="33"/>
      <c r="U47" s="33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7">
        <v>36.0</v>
      </c>
      <c r="C48" s="33"/>
      <c r="D48" s="56" t="str">
        <f>IF(C48="", "", IF(VLOOKUP(C48, Referensi!$C$5:$E$11, 3, TRUE) &gt; 1, VLOOKUP(C48, Referensi!$C$5:$E$11, 3, TRUE) / 100, VLOOKUP(C48, Referensi!$C$5:$E$11, 3, TRUE)))</f>
        <v/>
      </c>
      <c r="E48" s="56" t="str">
        <f>IF(C48="", "", IF(VLOOKUP(C48, Referensi!$C$5:$F$11, 4, TRUE) &gt; 1, VLOOKUP(C48, Referensi!$C$5:$F$11, 4, TRUE) / 100, VLOOKUP(C48, Referensi!$C$5:$F$11, 4, TRUE)))</f>
        <v/>
      </c>
      <c r="F48" s="33"/>
      <c r="G48" s="8" t="str">
        <f t="shared" si="5"/>
        <v/>
      </c>
      <c r="H48" s="38" t="str">
        <f t="shared" si="6"/>
        <v/>
      </c>
      <c r="I48" s="8" t="str">
        <f t="shared" si="7"/>
        <v/>
      </c>
      <c r="J48" s="57">
        <f t="shared" si="1"/>
        <v>0</v>
      </c>
      <c r="K48" s="58">
        <f t="shared" si="2"/>
        <v>0</v>
      </c>
      <c r="L48" s="33"/>
      <c r="M48" s="58">
        <f t="shared" si="3"/>
        <v>0</v>
      </c>
      <c r="N48" s="58" t="str">
        <f t="shared" si="4"/>
        <v/>
      </c>
      <c r="O48" s="33"/>
      <c r="P48" s="33"/>
      <c r="Q48" s="33"/>
      <c r="R48" s="33"/>
      <c r="S48" s="33"/>
      <c r="T48" s="33"/>
      <c r="U48" s="33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7">
        <v>37.0</v>
      </c>
      <c r="C49" s="33"/>
      <c r="D49" s="56" t="str">
        <f>IF(C49="", "", IF(VLOOKUP(C49, Referensi!$C$5:$E$11, 3, TRUE) &gt; 1, VLOOKUP(C49, Referensi!$C$5:$E$11, 3, TRUE) / 100, VLOOKUP(C49, Referensi!$C$5:$E$11, 3, TRUE)))</f>
        <v/>
      </c>
      <c r="E49" s="56" t="str">
        <f>IF(C49="", "", IF(VLOOKUP(C49, Referensi!$C$5:$F$11, 4, TRUE) &gt; 1, VLOOKUP(C49, Referensi!$C$5:$F$11, 4, TRUE) / 100, VLOOKUP(C49, Referensi!$C$5:$F$11, 4, TRUE)))</f>
        <v/>
      </c>
      <c r="F49" s="33"/>
      <c r="G49" s="8" t="str">
        <f t="shared" si="5"/>
        <v/>
      </c>
      <c r="H49" s="38" t="str">
        <f t="shared" si="6"/>
        <v/>
      </c>
      <c r="I49" s="8" t="str">
        <f t="shared" si="7"/>
        <v/>
      </c>
      <c r="J49" s="57">
        <f t="shared" si="1"/>
        <v>0</v>
      </c>
      <c r="K49" s="58">
        <f t="shared" si="2"/>
        <v>0</v>
      </c>
      <c r="L49" s="33"/>
      <c r="M49" s="58">
        <f t="shared" si="3"/>
        <v>0</v>
      </c>
      <c r="N49" s="58" t="str">
        <f t="shared" si="4"/>
        <v/>
      </c>
      <c r="O49" s="33"/>
      <c r="P49" s="33"/>
      <c r="Q49" s="33"/>
      <c r="R49" s="33"/>
      <c r="S49" s="33"/>
      <c r="T49" s="33"/>
      <c r="U49" s="33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7">
        <v>38.0</v>
      </c>
      <c r="C50" s="33"/>
      <c r="D50" s="56" t="str">
        <f>IF(C50="", "", IF(VLOOKUP(C50, Referensi!$C$5:$E$11, 3, TRUE) &gt; 1, VLOOKUP(C50, Referensi!$C$5:$E$11, 3, TRUE) / 100, VLOOKUP(C50, Referensi!$C$5:$E$11, 3, TRUE)))</f>
        <v/>
      </c>
      <c r="E50" s="56" t="str">
        <f>IF(C50="", "", IF(VLOOKUP(C50, Referensi!$C$5:$F$11, 4, TRUE) &gt; 1, VLOOKUP(C50, Referensi!$C$5:$F$11, 4, TRUE) / 100, VLOOKUP(C50, Referensi!$C$5:$F$11, 4, TRUE)))</f>
        <v/>
      </c>
      <c r="F50" s="33"/>
      <c r="G50" s="8" t="str">
        <f t="shared" si="5"/>
        <v/>
      </c>
      <c r="H50" s="38" t="str">
        <f t="shared" si="6"/>
        <v/>
      </c>
      <c r="I50" s="8" t="str">
        <f t="shared" si="7"/>
        <v/>
      </c>
      <c r="J50" s="57">
        <f t="shared" si="1"/>
        <v>0</v>
      </c>
      <c r="K50" s="58">
        <f t="shared" si="2"/>
        <v>0</v>
      </c>
      <c r="L50" s="33"/>
      <c r="M50" s="58">
        <f t="shared" si="3"/>
        <v>0</v>
      </c>
      <c r="N50" s="58" t="str">
        <f t="shared" si="4"/>
        <v/>
      </c>
      <c r="O50" s="33"/>
      <c r="P50" s="33"/>
      <c r="Q50" s="33"/>
      <c r="R50" s="33"/>
      <c r="S50" s="33"/>
      <c r="T50" s="33"/>
      <c r="U50" s="33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7">
        <v>39.0</v>
      </c>
      <c r="C51" s="33"/>
      <c r="D51" s="56" t="str">
        <f>IF(C51="", "", IF(VLOOKUP(C51, Referensi!$C$5:$E$11, 3, TRUE) &gt; 1, VLOOKUP(C51, Referensi!$C$5:$E$11, 3, TRUE) / 100, VLOOKUP(C51, Referensi!$C$5:$E$11, 3, TRUE)))</f>
        <v/>
      </c>
      <c r="E51" s="56" t="str">
        <f>IF(C51="", "", IF(VLOOKUP(C51, Referensi!$C$5:$F$11, 4, TRUE) &gt; 1, VLOOKUP(C51, Referensi!$C$5:$F$11, 4, TRUE) / 100, VLOOKUP(C51, Referensi!$C$5:$F$11, 4, TRUE)))</f>
        <v/>
      </c>
      <c r="F51" s="33"/>
      <c r="G51" s="8" t="str">
        <f t="shared" si="5"/>
        <v/>
      </c>
      <c r="H51" s="38" t="str">
        <f t="shared" si="6"/>
        <v/>
      </c>
      <c r="I51" s="8" t="str">
        <f t="shared" si="7"/>
        <v/>
      </c>
      <c r="J51" s="57">
        <f t="shared" si="1"/>
        <v>0</v>
      </c>
      <c r="K51" s="58">
        <f t="shared" si="2"/>
        <v>0</v>
      </c>
      <c r="L51" s="33"/>
      <c r="M51" s="58">
        <f t="shared" si="3"/>
        <v>0</v>
      </c>
      <c r="N51" s="58" t="str">
        <f t="shared" si="4"/>
        <v/>
      </c>
      <c r="O51" s="33"/>
      <c r="P51" s="33"/>
      <c r="Q51" s="33"/>
      <c r="R51" s="33"/>
      <c r="S51" s="33"/>
      <c r="T51" s="33"/>
      <c r="U51" s="33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7">
        <v>40.0</v>
      </c>
      <c r="C52" s="33"/>
      <c r="D52" s="56" t="str">
        <f>IF(C52="", "", IF(VLOOKUP(C52, Referensi!$C$5:$E$11, 3, TRUE) &gt; 1, VLOOKUP(C52, Referensi!$C$5:$E$11, 3, TRUE) / 100, VLOOKUP(C52, Referensi!$C$5:$E$11, 3, TRUE)))</f>
        <v/>
      </c>
      <c r="E52" s="56" t="str">
        <f>IF(C52="", "", IF(VLOOKUP(C52, Referensi!$C$5:$F$11, 4, TRUE) &gt; 1, VLOOKUP(C52, Referensi!$C$5:$F$11, 4, TRUE) / 100, VLOOKUP(C52, Referensi!$C$5:$F$11, 4, TRUE)))</f>
        <v/>
      </c>
      <c r="F52" s="33"/>
      <c r="G52" s="8" t="str">
        <f t="shared" si="5"/>
        <v/>
      </c>
      <c r="H52" s="38" t="str">
        <f t="shared" si="6"/>
        <v/>
      </c>
      <c r="I52" s="8" t="str">
        <f t="shared" si="7"/>
        <v/>
      </c>
      <c r="J52" s="57">
        <f t="shared" si="1"/>
        <v>0</v>
      </c>
      <c r="K52" s="58">
        <f t="shared" si="2"/>
        <v>0</v>
      </c>
      <c r="L52" s="33"/>
      <c r="M52" s="58">
        <f t="shared" si="3"/>
        <v>0</v>
      </c>
      <c r="N52" s="58" t="str">
        <f t="shared" si="4"/>
        <v/>
      </c>
      <c r="O52" s="33"/>
      <c r="P52" s="33"/>
      <c r="Q52" s="33"/>
      <c r="R52" s="33"/>
      <c r="S52" s="33"/>
      <c r="T52" s="33"/>
      <c r="U52" s="33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7">
        <v>41.0</v>
      </c>
      <c r="C53" s="33"/>
      <c r="D53" s="56" t="str">
        <f>IF(C53="", "", IF(VLOOKUP(C53, Referensi!$C$5:$E$11, 3, TRUE) &gt; 1, VLOOKUP(C53, Referensi!$C$5:$E$11, 3, TRUE) / 100, VLOOKUP(C53, Referensi!$C$5:$E$11, 3, TRUE)))</f>
        <v/>
      </c>
      <c r="E53" s="56" t="str">
        <f>IF(C53="", "", IF(VLOOKUP(C53, Referensi!$C$5:$F$11, 4, TRUE) &gt; 1, VLOOKUP(C53, Referensi!$C$5:$F$11, 4, TRUE) / 100, VLOOKUP(C53, Referensi!$C$5:$F$11, 4, TRUE)))</f>
        <v/>
      </c>
      <c r="F53" s="33"/>
      <c r="G53" s="8" t="str">
        <f t="shared" si="5"/>
        <v/>
      </c>
      <c r="H53" s="38" t="str">
        <f t="shared" si="6"/>
        <v/>
      </c>
      <c r="I53" s="8" t="str">
        <f t="shared" si="7"/>
        <v/>
      </c>
      <c r="J53" s="57">
        <f t="shared" si="1"/>
        <v>0</v>
      </c>
      <c r="K53" s="58">
        <f t="shared" si="2"/>
        <v>0</v>
      </c>
      <c r="L53" s="33"/>
      <c r="M53" s="58">
        <f t="shared" si="3"/>
        <v>0</v>
      </c>
      <c r="N53" s="58" t="str">
        <f t="shared" si="4"/>
        <v/>
      </c>
      <c r="O53" s="33"/>
      <c r="P53" s="33"/>
      <c r="Q53" s="33"/>
      <c r="R53" s="33"/>
      <c r="S53" s="33"/>
      <c r="T53" s="33"/>
      <c r="U53" s="33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7">
        <v>42.0</v>
      </c>
      <c r="C54" s="33"/>
      <c r="D54" s="56" t="str">
        <f>IF(C54="", "", IF(VLOOKUP(C54, Referensi!$C$5:$E$11, 3, TRUE) &gt; 1, VLOOKUP(C54, Referensi!$C$5:$E$11, 3, TRUE) / 100, VLOOKUP(C54, Referensi!$C$5:$E$11, 3, TRUE)))</f>
        <v/>
      </c>
      <c r="E54" s="56" t="str">
        <f>IF(C54="", "", IF(VLOOKUP(C54, Referensi!$C$5:$F$11, 4, TRUE) &gt; 1, VLOOKUP(C54, Referensi!$C$5:$F$11, 4, TRUE) / 100, VLOOKUP(C54, Referensi!$C$5:$F$11, 4, TRUE)))</f>
        <v/>
      </c>
      <c r="F54" s="33"/>
      <c r="G54" s="8" t="str">
        <f t="shared" si="5"/>
        <v/>
      </c>
      <c r="H54" s="38" t="str">
        <f t="shared" si="6"/>
        <v/>
      </c>
      <c r="I54" s="8" t="str">
        <f t="shared" si="7"/>
        <v/>
      </c>
      <c r="J54" s="57">
        <f t="shared" si="1"/>
        <v>0</v>
      </c>
      <c r="K54" s="58">
        <f t="shared" si="2"/>
        <v>0</v>
      </c>
      <c r="L54" s="33"/>
      <c r="M54" s="58">
        <f t="shared" si="3"/>
        <v>0</v>
      </c>
      <c r="N54" s="58" t="str">
        <f t="shared" si="4"/>
        <v/>
      </c>
      <c r="O54" s="33"/>
      <c r="P54" s="33"/>
      <c r="Q54" s="33"/>
      <c r="R54" s="33"/>
      <c r="S54" s="33"/>
      <c r="T54" s="33"/>
      <c r="U54" s="33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7">
        <v>43.0</v>
      </c>
      <c r="C55" s="33"/>
      <c r="D55" s="56" t="str">
        <f>IF(C55="", "", IF(VLOOKUP(C55, Referensi!$C$5:$E$11, 3, TRUE) &gt; 1, VLOOKUP(C55, Referensi!$C$5:$E$11, 3, TRUE) / 100, VLOOKUP(C55, Referensi!$C$5:$E$11, 3, TRUE)))</f>
        <v/>
      </c>
      <c r="E55" s="56" t="str">
        <f>IF(C55="", "", IF(VLOOKUP(C55, Referensi!$C$5:$F$11, 4, TRUE) &gt; 1, VLOOKUP(C55, Referensi!$C$5:$F$11, 4, TRUE) / 100, VLOOKUP(C55, Referensi!$C$5:$F$11, 4, TRUE)))</f>
        <v/>
      </c>
      <c r="F55" s="33"/>
      <c r="G55" s="8" t="str">
        <f t="shared" si="5"/>
        <v/>
      </c>
      <c r="H55" s="38" t="str">
        <f t="shared" si="6"/>
        <v/>
      </c>
      <c r="I55" s="8" t="str">
        <f t="shared" si="7"/>
        <v/>
      </c>
      <c r="J55" s="57">
        <f t="shared" si="1"/>
        <v>0</v>
      </c>
      <c r="K55" s="58">
        <f t="shared" si="2"/>
        <v>0</v>
      </c>
      <c r="L55" s="33"/>
      <c r="M55" s="58">
        <f t="shared" si="3"/>
        <v>0</v>
      </c>
      <c r="N55" s="58" t="str">
        <f t="shared" si="4"/>
        <v/>
      </c>
      <c r="O55" s="33"/>
      <c r="P55" s="33"/>
      <c r="Q55" s="33"/>
      <c r="R55" s="33"/>
      <c r="S55" s="33"/>
      <c r="T55" s="33"/>
      <c r="U55" s="33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7">
        <v>44.0</v>
      </c>
      <c r="C56" s="33"/>
      <c r="D56" s="56" t="str">
        <f>IF(C56="", "", IF(VLOOKUP(C56, Referensi!$C$5:$E$11, 3, TRUE) &gt; 1, VLOOKUP(C56, Referensi!$C$5:$E$11, 3, TRUE) / 100, VLOOKUP(C56, Referensi!$C$5:$E$11, 3, TRUE)))</f>
        <v/>
      </c>
      <c r="E56" s="56" t="str">
        <f>IF(C56="", "", IF(VLOOKUP(C56, Referensi!$C$5:$F$11, 4, TRUE) &gt; 1, VLOOKUP(C56, Referensi!$C$5:$F$11, 4, TRUE) / 100, VLOOKUP(C56, Referensi!$C$5:$F$11, 4, TRUE)))</f>
        <v/>
      </c>
      <c r="F56" s="33"/>
      <c r="G56" s="8" t="str">
        <f t="shared" si="5"/>
        <v/>
      </c>
      <c r="H56" s="38" t="str">
        <f t="shared" si="6"/>
        <v/>
      </c>
      <c r="I56" s="8" t="str">
        <f t="shared" si="7"/>
        <v/>
      </c>
      <c r="J56" s="57">
        <f t="shared" si="1"/>
        <v>0</v>
      </c>
      <c r="K56" s="58">
        <f t="shared" si="2"/>
        <v>0</v>
      </c>
      <c r="L56" s="33"/>
      <c r="M56" s="58">
        <f t="shared" si="3"/>
        <v>0</v>
      </c>
      <c r="N56" s="58" t="str">
        <f t="shared" si="4"/>
        <v/>
      </c>
      <c r="O56" s="33"/>
      <c r="P56" s="33"/>
      <c r="Q56" s="33"/>
      <c r="R56" s="33"/>
      <c r="S56" s="33"/>
      <c r="T56" s="33"/>
      <c r="U56" s="33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7">
        <v>45.0</v>
      </c>
      <c r="C57" s="33"/>
      <c r="D57" s="56" t="str">
        <f>IF(C57="", "", IF(VLOOKUP(C57, Referensi!$C$5:$E$11, 3, TRUE) &gt; 1, VLOOKUP(C57, Referensi!$C$5:$E$11, 3, TRUE) / 100, VLOOKUP(C57, Referensi!$C$5:$E$11, 3, TRUE)))</f>
        <v/>
      </c>
      <c r="E57" s="56" t="str">
        <f>IF(C57="", "", IF(VLOOKUP(C57, Referensi!$C$5:$F$11, 4, TRUE) &gt; 1, VLOOKUP(C57, Referensi!$C$5:$F$11, 4, TRUE) / 100, VLOOKUP(C57, Referensi!$C$5:$F$11, 4, TRUE)))</f>
        <v/>
      </c>
      <c r="F57" s="33"/>
      <c r="G57" s="8" t="str">
        <f t="shared" si="5"/>
        <v/>
      </c>
      <c r="H57" s="38" t="str">
        <f t="shared" si="6"/>
        <v/>
      </c>
      <c r="I57" s="8" t="str">
        <f t="shared" si="7"/>
        <v/>
      </c>
      <c r="J57" s="57">
        <f t="shared" si="1"/>
        <v>0</v>
      </c>
      <c r="K57" s="58">
        <f t="shared" si="2"/>
        <v>0</v>
      </c>
      <c r="L57" s="33"/>
      <c r="M57" s="58">
        <f t="shared" si="3"/>
        <v>0</v>
      </c>
      <c r="N57" s="58" t="str">
        <f t="shared" si="4"/>
        <v/>
      </c>
      <c r="O57" s="33"/>
      <c r="P57" s="33"/>
      <c r="Q57" s="33"/>
      <c r="R57" s="33"/>
      <c r="S57" s="33"/>
      <c r="T57" s="33"/>
      <c r="U57" s="33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7">
        <v>46.0</v>
      </c>
      <c r="C58" s="33"/>
      <c r="D58" s="56" t="str">
        <f>IF(C58="", "", IF(VLOOKUP(C58, Referensi!$C$5:$E$11, 3, TRUE) &gt; 1, VLOOKUP(C58, Referensi!$C$5:$E$11, 3, TRUE) / 100, VLOOKUP(C58, Referensi!$C$5:$E$11, 3, TRUE)))</f>
        <v/>
      </c>
      <c r="E58" s="56" t="str">
        <f>IF(C58="", "", IF(VLOOKUP(C58, Referensi!$C$5:$F$11, 4, TRUE) &gt; 1, VLOOKUP(C58, Referensi!$C$5:$F$11, 4, TRUE) / 100, VLOOKUP(C58, Referensi!$C$5:$F$11, 4, TRUE)))</f>
        <v/>
      </c>
      <c r="F58" s="33"/>
      <c r="G58" s="8" t="str">
        <f t="shared" si="5"/>
        <v/>
      </c>
      <c r="H58" s="38" t="str">
        <f t="shared" si="6"/>
        <v/>
      </c>
      <c r="I58" s="8" t="str">
        <f t="shared" si="7"/>
        <v/>
      </c>
      <c r="J58" s="57">
        <f t="shared" si="1"/>
        <v>0</v>
      </c>
      <c r="K58" s="58">
        <f t="shared" si="2"/>
        <v>0</v>
      </c>
      <c r="L58" s="33"/>
      <c r="M58" s="58">
        <f t="shared" si="3"/>
        <v>0</v>
      </c>
      <c r="N58" s="58" t="str">
        <f t="shared" si="4"/>
        <v/>
      </c>
      <c r="O58" s="33"/>
      <c r="P58" s="33"/>
      <c r="Q58" s="33"/>
      <c r="R58" s="33"/>
      <c r="S58" s="33"/>
      <c r="T58" s="33"/>
      <c r="U58" s="33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7">
        <v>47.0</v>
      </c>
      <c r="C59" s="33"/>
      <c r="D59" s="56" t="str">
        <f>IF(C59="", "", IF(VLOOKUP(C59, Referensi!$C$5:$E$11, 3, TRUE) &gt; 1, VLOOKUP(C59, Referensi!$C$5:$E$11, 3, TRUE) / 100, VLOOKUP(C59, Referensi!$C$5:$E$11, 3, TRUE)))</f>
        <v/>
      </c>
      <c r="E59" s="56" t="str">
        <f>IF(C59="", "", IF(VLOOKUP(C59, Referensi!$C$5:$F$11, 4, TRUE) &gt; 1, VLOOKUP(C59, Referensi!$C$5:$F$11, 4, TRUE) / 100, VLOOKUP(C59, Referensi!$C$5:$F$11, 4, TRUE)))</f>
        <v/>
      </c>
      <c r="F59" s="33"/>
      <c r="G59" s="8" t="str">
        <f t="shared" si="5"/>
        <v/>
      </c>
      <c r="H59" s="38" t="str">
        <f t="shared" si="6"/>
        <v/>
      </c>
      <c r="I59" s="8" t="str">
        <f t="shared" si="7"/>
        <v/>
      </c>
      <c r="J59" s="57">
        <f t="shared" si="1"/>
        <v>0</v>
      </c>
      <c r="K59" s="58">
        <f t="shared" si="2"/>
        <v>0</v>
      </c>
      <c r="L59" s="33"/>
      <c r="M59" s="58">
        <f t="shared" si="3"/>
        <v>0</v>
      </c>
      <c r="N59" s="58" t="str">
        <f t="shared" si="4"/>
        <v/>
      </c>
      <c r="O59" s="33"/>
      <c r="P59" s="33"/>
      <c r="Q59" s="33"/>
      <c r="R59" s="33"/>
      <c r="S59" s="33"/>
      <c r="T59" s="33"/>
      <c r="U59" s="33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7">
        <v>48.0</v>
      </c>
      <c r="C60" s="33"/>
      <c r="D60" s="56" t="str">
        <f>IF(C60="", "", IF(VLOOKUP(C60, Referensi!$C$5:$E$11, 3, TRUE) &gt; 1, VLOOKUP(C60, Referensi!$C$5:$E$11, 3, TRUE) / 100, VLOOKUP(C60, Referensi!$C$5:$E$11, 3, TRUE)))</f>
        <v/>
      </c>
      <c r="E60" s="56" t="str">
        <f>IF(C60="", "", IF(VLOOKUP(C60, Referensi!$C$5:$F$11, 4, TRUE) &gt; 1, VLOOKUP(C60, Referensi!$C$5:$F$11, 4, TRUE) / 100, VLOOKUP(C60, Referensi!$C$5:$F$11, 4, TRUE)))</f>
        <v/>
      </c>
      <c r="F60" s="33"/>
      <c r="G60" s="8" t="str">
        <f t="shared" si="5"/>
        <v/>
      </c>
      <c r="H60" s="38" t="str">
        <f t="shared" si="6"/>
        <v/>
      </c>
      <c r="I60" s="8" t="str">
        <f t="shared" si="7"/>
        <v/>
      </c>
      <c r="J60" s="57">
        <f t="shared" si="1"/>
        <v>0</v>
      </c>
      <c r="K60" s="58">
        <f t="shared" si="2"/>
        <v>0</v>
      </c>
      <c r="L60" s="33"/>
      <c r="M60" s="58">
        <f t="shared" si="3"/>
        <v>0</v>
      </c>
      <c r="N60" s="58" t="str">
        <f t="shared" si="4"/>
        <v/>
      </c>
      <c r="O60" s="33"/>
      <c r="P60" s="33"/>
      <c r="Q60" s="33"/>
      <c r="R60" s="33"/>
      <c r="S60" s="33"/>
      <c r="T60" s="33"/>
      <c r="U60" s="33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7">
        <v>49.0</v>
      </c>
      <c r="C61" s="33"/>
      <c r="D61" s="56" t="str">
        <f>IF(C61="", "", IF(VLOOKUP(C61, Referensi!$C$5:$E$11, 3, TRUE) &gt; 1, VLOOKUP(C61, Referensi!$C$5:$E$11, 3, TRUE) / 100, VLOOKUP(C61, Referensi!$C$5:$E$11, 3, TRUE)))</f>
        <v/>
      </c>
      <c r="E61" s="56" t="str">
        <f>IF(C61="", "", IF(VLOOKUP(C61, Referensi!$C$5:$F$11, 4, TRUE) &gt; 1, VLOOKUP(C61, Referensi!$C$5:$F$11, 4, TRUE) / 100, VLOOKUP(C61, Referensi!$C$5:$F$11, 4, TRUE)))</f>
        <v/>
      </c>
      <c r="F61" s="33"/>
      <c r="G61" s="8" t="str">
        <f t="shared" si="5"/>
        <v/>
      </c>
      <c r="H61" s="38" t="str">
        <f t="shared" si="6"/>
        <v/>
      </c>
      <c r="I61" s="8" t="str">
        <f t="shared" si="7"/>
        <v/>
      </c>
      <c r="J61" s="57">
        <f t="shared" si="1"/>
        <v>0</v>
      </c>
      <c r="K61" s="58">
        <f t="shared" si="2"/>
        <v>0</v>
      </c>
      <c r="L61" s="33"/>
      <c r="M61" s="58">
        <f t="shared" si="3"/>
        <v>0</v>
      </c>
      <c r="N61" s="58" t="str">
        <f t="shared" si="4"/>
        <v/>
      </c>
      <c r="O61" s="33"/>
      <c r="P61" s="33"/>
      <c r="Q61" s="33"/>
      <c r="R61" s="33"/>
      <c r="S61" s="33"/>
      <c r="T61" s="33"/>
      <c r="U61" s="33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7">
        <v>50.0</v>
      </c>
      <c r="C62" s="33"/>
      <c r="D62" s="56" t="str">
        <f>IF(C62="", "", IF(VLOOKUP(C62, Referensi!$C$5:$E$11, 3, TRUE) &gt; 1, VLOOKUP(C62, Referensi!$C$5:$E$11, 3, TRUE) / 100, VLOOKUP(C62, Referensi!$C$5:$E$11, 3, TRUE)))</f>
        <v/>
      </c>
      <c r="E62" s="56" t="str">
        <f>IF(C62="", "", IF(VLOOKUP(C62, Referensi!$C$5:$F$11, 4, TRUE) &gt; 1, VLOOKUP(C62, Referensi!$C$5:$F$11, 4, TRUE) / 100, VLOOKUP(C62, Referensi!$C$5:$F$11, 4, TRUE)))</f>
        <v/>
      </c>
      <c r="F62" s="33"/>
      <c r="G62" s="8" t="str">
        <f t="shared" si="5"/>
        <v/>
      </c>
      <c r="H62" s="38" t="str">
        <f t="shared" si="6"/>
        <v/>
      </c>
      <c r="I62" s="8" t="str">
        <f t="shared" si="7"/>
        <v/>
      </c>
      <c r="J62" s="57">
        <f t="shared" si="1"/>
        <v>0</v>
      </c>
      <c r="K62" s="58">
        <f t="shared" si="2"/>
        <v>0</v>
      </c>
      <c r="L62" s="33"/>
      <c r="M62" s="58">
        <f t="shared" si="3"/>
        <v>0</v>
      </c>
      <c r="N62" s="58" t="str">
        <f t="shared" si="4"/>
        <v/>
      </c>
      <c r="O62" s="33"/>
      <c r="P62" s="33"/>
      <c r="Q62" s="33"/>
      <c r="R62" s="33"/>
      <c r="S62" s="33"/>
      <c r="T62" s="33"/>
      <c r="U62" s="33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7">
        <v>51.0</v>
      </c>
      <c r="C63" s="33"/>
      <c r="D63" s="56" t="str">
        <f>IF(C63="", "", IF(VLOOKUP(C63, Referensi!$C$5:$E$11, 3, TRUE) &gt; 1, VLOOKUP(C63, Referensi!$C$5:$E$11, 3, TRUE) / 100, VLOOKUP(C63, Referensi!$C$5:$E$11, 3, TRUE)))</f>
        <v/>
      </c>
      <c r="E63" s="56" t="str">
        <f>IF(C63="", "", IF(VLOOKUP(C63, Referensi!$C$5:$F$11, 4, TRUE) &gt; 1, VLOOKUP(C63, Referensi!$C$5:$F$11, 4, TRUE) / 100, VLOOKUP(C63, Referensi!$C$5:$F$11, 4, TRUE)))</f>
        <v/>
      </c>
      <c r="F63" s="33"/>
      <c r="G63" s="8" t="str">
        <f t="shared" si="5"/>
        <v/>
      </c>
      <c r="H63" s="38" t="str">
        <f t="shared" si="6"/>
        <v/>
      </c>
      <c r="I63" s="8" t="str">
        <f t="shared" si="7"/>
        <v/>
      </c>
      <c r="J63" s="57">
        <f t="shared" si="1"/>
        <v>0</v>
      </c>
      <c r="K63" s="58">
        <f t="shared" si="2"/>
        <v>0</v>
      </c>
      <c r="L63" s="33"/>
      <c r="M63" s="58">
        <f t="shared" si="3"/>
        <v>0</v>
      </c>
      <c r="N63" s="58" t="str">
        <f t="shared" si="4"/>
        <v/>
      </c>
      <c r="O63" s="33"/>
      <c r="P63" s="33"/>
      <c r="Q63" s="33"/>
      <c r="R63" s="33"/>
      <c r="S63" s="33"/>
      <c r="T63" s="33"/>
      <c r="U63" s="33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7">
        <v>52.0</v>
      </c>
      <c r="C64" s="33"/>
      <c r="D64" s="56" t="str">
        <f>IF(C64="", "", IF(VLOOKUP(C64, Referensi!$C$5:$E$11, 3, TRUE) &gt; 1, VLOOKUP(C64, Referensi!$C$5:$E$11, 3, TRUE) / 100, VLOOKUP(C64, Referensi!$C$5:$E$11, 3, TRUE)))</f>
        <v/>
      </c>
      <c r="E64" s="56" t="str">
        <f>IF(C64="", "", IF(VLOOKUP(C64, Referensi!$C$5:$F$11, 4, TRUE) &gt; 1, VLOOKUP(C64, Referensi!$C$5:$F$11, 4, TRUE) / 100, VLOOKUP(C64, Referensi!$C$5:$F$11, 4, TRUE)))</f>
        <v/>
      </c>
      <c r="F64" s="33"/>
      <c r="G64" s="8" t="str">
        <f t="shared" si="5"/>
        <v/>
      </c>
      <c r="H64" s="38" t="str">
        <f t="shared" si="6"/>
        <v/>
      </c>
      <c r="I64" s="8" t="str">
        <f t="shared" si="7"/>
        <v/>
      </c>
      <c r="J64" s="57">
        <f t="shared" si="1"/>
        <v>0</v>
      </c>
      <c r="K64" s="58">
        <f t="shared" si="2"/>
        <v>0</v>
      </c>
      <c r="L64" s="33"/>
      <c r="M64" s="58">
        <f t="shared" si="3"/>
        <v>0</v>
      </c>
      <c r="N64" s="58" t="str">
        <f t="shared" si="4"/>
        <v/>
      </c>
      <c r="O64" s="33"/>
      <c r="P64" s="33"/>
      <c r="Q64" s="33"/>
      <c r="R64" s="33"/>
      <c r="S64" s="33"/>
      <c r="T64" s="33"/>
      <c r="U64" s="33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7">
        <v>53.0</v>
      </c>
      <c r="C65" s="33"/>
      <c r="D65" s="56" t="str">
        <f>IF(C65="", "", IF(VLOOKUP(C65, Referensi!$C$5:$E$11, 3, TRUE) &gt; 1, VLOOKUP(C65, Referensi!$C$5:$E$11, 3, TRUE) / 100, VLOOKUP(C65, Referensi!$C$5:$E$11, 3, TRUE)))</f>
        <v/>
      </c>
      <c r="E65" s="56" t="str">
        <f>IF(C65="", "", IF(VLOOKUP(C65, Referensi!$C$5:$F$11, 4, TRUE) &gt; 1, VLOOKUP(C65, Referensi!$C$5:$F$11, 4, TRUE) / 100, VLOOKUP(C65, Referensi!$C$5:$F$11, 4, TRUE)))</f>
        <v/>
      </c>
      <c r="F65" s="33"/>
      <c r="G65" s="8" t="str">
        <f t="shared" si="5"/>
        <v/>
      </c>
      <c r="H65" s="38" t="str">
        <f t="shared" si="6"/>
        <v/>
      </c>
      <c r="I65" s="8" t="str">
        <f t="shared" si="7"/>
        <v/>
      </c>
      <c r="J65" s="57">
        <f t="shared" si="1"/>
        <v>0</v>
      </c>
      <c r="K65" s="58">
        <f t="shared" si="2"/>
        <v>0</v>
      </c>
      <c r="L65" s="33"/>
      <c r="M65" s="58">
        <f t="shared" si="3"/>
        <v>0</v>
      </c>
      <c r="N65" s="58" t="str">
        <f t="shared" si="4"/>
        <v/>
      </c>
      <c r="O65" s="33"/>
      <c r="P65" s="33"/>
      <c r="Q65" s="33"/>
      <c r="R65" s="33"/>
      <c r="S65" s="33"/>
      <c r="T65" s="33"/>
      <c r="U65" s="33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7">
        <v>54.0</v>
      </c>
      <c r="C66" s="33"/>
      <c r="D66" s="56" t="str">
        <f>IF(C66="", "", IF(VLOOKUP(C66, Referensi!$C$5:$E$11, 3, TRUE) &gt; 1, VLOOKUP(C66, Referensi!$C$5:$E$11, 3, TRUE) / 100, VLOOKUP(C66, Referensi!$C$5:$E$11, 3, TRUE)))</f>
        <v/>
      </c>
      <c r="E66" s="56" t="str">
        <f>IF(C66="", "", IF(VLOOKUP(C66, Referensi!$C$5:$F$11, 4, TRUE) &gt; 1, VLOOKUP(C66, Referensi!$C$5:$F$11, 4, TRUE) / 100, VLOOKUP(C66, Referensi!$C$5:$F$11, 4, TRUE)))</f>
        <v/>
      </c>
      <c r="F66" s="33"/>
      <c r="G66" s="8" t="str">
        <f t="shared" si="5"/>
        <v/>
      </c>
      <c r="H66" s="38" t="str">
        <f t="shared" si="6"/>
        <v/>
      </c>
      <c r="I66" s="8" t="str">
        <f t="shared" si="7"/>
        <v/>
      </c>
      <c r="J66" s="57">
        <f t="shared" si="1"/>
        <v>0</v>
      </c>
      <c r="K66" s="58">
        <f t="shared" si="2"/>
        <v>0</v>
      </c>
      <c r="L66" s="33"/>
      <c r="M66" s="58">
        <f t="shared" si="3"/>
        <v>0</v>
      </c>
      <c r="N66" s="58" t="str">
        <f t="shared" si="4"/>
        <v/>
      </c>
      <c r="O66" s="33"/>
      <c r="P66" s="33"/>
      <c r="Q66" s="33"/>
      <c r="R66" s="33"/>
      <c r="S66" s="33"/>
      <c r="T66" s="33"/>
      <c r="U66" s="33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7">
        <v>55.0</v>
      </c>
      <c r="C67" s="33"/>
      <c r="D67" s="56" t="str">
        <f>IF(C67="", "", IF(VLOOKUP(C67, Referensi!$C$5:$E$11, 3, TRUE) &gt; 1, VLOOKUP(C67, Referensi!$C$5:$E$11, 3, TRUE) / 100, VLOOKUP(C67, Referensi!$C$5:$E$11, 3, TRUE)))</f>
        <v/>
      </c>
      <c r="E67" s="56" t="str">
        <f>IF(C67="", "", IF(VLOOKUP(C67, Referensi!$C$5:$F$11, 4, TRUE) &gt; 1, VLOOKUP(C67, Referensi!$C$5:$F$11, 4, TRUE) / 100, VLOOKUP(C67, Referensi!$C$5:$F$11, 4, TRUE)))</f>
        <v/>
      </c>
      <c r="F67" s="33"/>
      <c r="G67" s="8" t="str">
        <f t="shared" si="5"/>
        <v/>
      </c>
      <c r="H67" s="38" t="str">
        <f t="shared" si="6"/>
        <v/>
      </c>
      <c r="I67" s="8" t="str">
        <f t="shared" si="7"/>
        <v/>
      </c>
      <c r="J67" s="57">
        <f t="shared" si="1"/>
        <v>0</v>
      </c>
      <c r="K67" s="58">
        <f t="shared" si="2"/>
        <v>0</v>
      </c>
      <c r="L67" s="33"/>
      <c r="M67" s="58">
        <f t="shared" si="3"/>
        <v>0</v>
      </c>
      <c r="N67" s="58" t="str">
        <f t="shared" si="4"/>
        <v/>
      </c>
      <c r="O67" s="33"/>
      <c r="P67" s="33"/>
      <c r="Q67" s="33"/>
      <c r="R67" s="33"/>
      <c r="S67" s="33"/>
      <c r="T67" s="33"/>
      <c r="U67" s="33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7">
        <v>56.0</v>
      </c>
      <c r="C68" s="33"/>
      <c r="D68" s="56" t="str">
        <f>IF(C68="", "", IF(VLOOKUP(C68, Referensi!$C$5:$E$11, 3, TRUE) &gt; 1, VLOOKUP(C68, Referensi!$C$5:$E$11, 3, TRUE) / 100, VLOOKUP(C68, Referensi!$C$5:$E$11, 3, TRUE)))</f>
        <v/>
      </c>
      <c r="E68" s="56" t="str">
        <f>IF(C68="", "", IF(VLOOKUP(C68, Referensi!$C$5:$F$11, 4, TRUE) &gt; 1, VLOOKUP(C68, Referensi!$C$5:$F$11, 4, TRUE) / 100, VLOOKUP(C68, Referensi!$C$5:$F$11, 4, TRUE)))</f>
        <v/>
      </c>
      <c r="F68" s="33"/>
      <c r="G68" s="8" t="str">
        <f t="shared" si="5"/>
        <v/>
      </c>
      <c r="H68" s="38" t="str">
        <f t="shared" si="6"/>
        <v/>
      </c>
      <c r="I68" s="8" t="str">
        <f t="shared" si="7"/>
        <v/>
      </c>
      <c r="J68" s="57">
        <f t="shared" si="1"/>
        <v>0</v>
      </c>
      <c r="K68" s="58">
        <f t="shared" si="2"/>
        <v>0</v>
      </c>
      <c r="L68" s="33"/>
      <c r="M68" s="58">
        <f t="shared" si="3"/>
        <v>0</v>
      </c>
      <c r="N68" s="58" t="str">
        <f t="shared" si="4"/>
        <v/>
      </c>
      <c r="O68" s="33"/>
      <c r="P68" s="33"/>
      <c r="Q68" s="33"/>
      <c r="R68" s="33"/>
      <c r="S68" s="33"/>
      <c r="T68" s="33"/>
      <c r="U68" s="33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7">
        <v>57.0</v>
      </c>
      <c r="C69" s="33"/>
      <c r="D69" s="56" t="str">
        <f>IF(C69="", "", IF(VLOOKUP(C69, Referensi!$C$5:$E$11, 3, TRUE) &gt; 1, VLOOKUP(C69, Referensi!$C$5:$E$11, 3, TRUE) / 100, VLOOKUP(C69, Referensi!$C$5:$E$11, 3, TRUE)))</f>
        <v/>
      </c>
      <c r="E69" s="56" t="str">
        <f>IF(C69="", "", IF(VLOOKUP(C69, Referensi!$C$5:$F$11, 4, TRUE) &gt; 1, VLOOKUP(C69, Referensi!$C$5:$F$11, 4, TRUE) / 100, VLOOKUP(C69, Referensi!$C$5:$F$11, 4, TRUE)))</f>
        <v/>
      </c>
      <c r="F69" s="33"/>
      <c r="G69" s="8" t="str">
        <f t="shared" si="5"/>
        <v/>
      </c>
      <c r="H69" s="38" t="str">
        <f t="shared" si="6"/>
        <v/>
      </c>
      <c r="I69" s="8" t="str">
        <f t="shared" si="7"/>
        <v/>
      </c>
      <c r="J69" s="57">
        <f t="shared" si="1"/>
        <v>0</v>
      </c>
      <c r="K69" s="58">
        <f t="shared" si="2"/>
        <v>0</v>
      </c>
      <c r="L69" s="33"/>
      <c r="M69" s="58">
        <f t="shared" si="3"/>
        <v>0</v>
      </c>
      <c r="N69" s="58" t="str">
        <f t="shared" si="4"/>
        <v/>
      </c>
      <c r="O69" s="33"/>
      <c r="P69" s="33"/>
      <c r="Q69" s="33"/>
      <c r="R69" s="33"/>
      <c r="S69" s="33"/>
      <c r="T69" s="33"/>
      <c r="U69" s="33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7">
        <v>58.0</v>
      </c>
      <c r="C70" s="33"/>
      <c r="D70" s="56" t="str">
        <f>IF(C70="", "", IF(VLOOKUP(C70, Referensi!$C$5:$E$11, 3, TRUE) &gt; 1, VLOOKUP(C70, Referensi!$C$5:$E$11, 3, TRUE) / 100, VLOOKUP(C70, Referensi!$C$5:$E$11, 3, TRUE)))</f>
        <v/>
      </c>
      <c r="E70" s="56" t="str">
        <f>IF(C70="", "", IF(VLOOKUP(C70, Referensi!$C$5:$F$11, 4, TRUE) &gt; 1, VLOOKUP(C70, Referensi!$C$5:$F$11, 4, TRUE) / 100, VLOOKUP(C70, Referensi!$C$5:$F$11, 4, TRUE)))</f>
        <v/>
      </c>
      <c r="F70" s="33"/>
      <c r="G70" s="8" t="str">
        <f t="shared" si="5"/>
        <v/>
      </c>
      <c r="H70" s="38" t="str">
        <f t="shared" si="6"/>
        <v/>
      </c>
      <c r="I70" s="8" t="str">
        <f t="shared" si="7"/>
        <v/>
      </c>
      <c r="J70" s="57">
        <f t="shared" si="1"/>
        <v>0</v>
      </c>
      <c r="K70" s="58">
        <f t="shared" si="2"/>
        <v>0</v>
      </c>
      <c r="L70" s="33"/>
      <c r="M70" s="58">
        <f t="shared" si="3"/>
        <v>0</v>
      </c>
      <c r="N70" s="58" t="str">
        <f t="shared" si="4"/>
        <v/>
      </c>
      <c r="O70" s="33"/>
      <c r="P70" s="33"/>
      <c r="Q70" s="33"/>
      <c r="R70" s="33"/>
      <c r="S70" s="33"/>
      <c r="T70" s="33"/>
      <c r="U70" s="33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7">
        <v>59.0</v>
      </c>
      <c r="C71" s="33"/>
      <c r="D71" s="56" t="str">
        <f>IF(C71="", "", IF(VLOOKUP(C71, Referensi!$C$5:$E$11, 3, TRUE) &gt; 1, VLOOKUP(C71, Referensi!$C$5:$E$11, 3, TRUE) / 100, VLOOKUP(C71, Referensi!$C$5:$E$11, 3, TRUE)))</f>
        <v/>
      </c>
      <c r="E71" s="56" t="str">
        <f>IF(C71="", "", IF(VLOOKUP(C71, Referensi!$C$5:$F$11, 4, TRUE) &gt; 1, VLOOKUP(C71, Referensi!$C$5:$F$11, 4, TRUE) / 100, VLOOKUP(C71, Referensi!$C$5:$F$11, 4, TRUE)))</f>
        <v/>
      </c>
      <c r="F71" s="33"/>
      <c r="G71" s="8" t="str">
        <f t="shared" si="5"/>
        <v/>
      </c>
      <c r="H71" s="38" t="str">
        <f t="shared" si="6"/>
        <v/>
      </c>
      <c r="I71" s="8" t="str">
        <f t="shared" si="7"/>
        <v/>
      </c>
      <c r="J71" s="57">
        <f t="shared" si="1"/>
        <v>0</v>
      </c>
      <c r="K71" s="58">
        <f t="shared" si="2"/>
        <v>0</v>
      </c>
      <c r="L71" s="33"/>
      <c r="M71" s="58">
        <f t="shared" si="3"/>
        <v>0</v>
      </c>
      <c r="N71" s="58" t="str">
        <f t="shared" si="4"/>
        <v/>
      </c>
      <c r="O71" s="33"/>
      <c r="P71" s="33"/>
      <c r="Q71" s="33"/>
      <c r="R71" s="33"/>
      <c r="S71" s="33"/>
      <c r="T71" s="33"/>
      <c r="U71" s="33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7">
        <v>60.0</v>
      </c>
      <c r="C72" s="33"/>
      <c r="D72" s="56" t="str">
        <f>IF(C72="", "", IF(VLOOKUP(C72, Referensi!$C$5:$E$11, 3, TRUE) &gt; 1, VLOOKUP(C72, Referensi!$C$5:$E$11, 3, TRUE) / 100, VLOOKUP(C72, Referensi!$C$5:$E$11, 3, TRUE)))</f>
        <v/>
      </c>
      <c r="E72" s="56" t="str">
        <f>IF(C72="", "", IF(VLOOKUP(C72, Referensi!$C$5:$F$11, 4, TRUE) &gt; 1, VLOOKUP(C72, Referensi!$C$5:$F$11, 4, TRUE) / 100, VLOOKUP(C72, Referensi!$C$5:$F$11, 4, TRUE)))</f>
        <v/>
      </c>
      <c r="F72" s="33"/>
      <c r="G72" s="8" t="str">
        <f t="shared" si="5"/>
        <v/>
      </c>
      <c r="H72" s="38" t="str">
        <f t="shared" si="6"/>
        <v/>
      </c>
      <c r="I72" s="8" t="str">
        <f t="shared" si="7"/>
        <v/>
      </c>
      <c r="J72" s="57">
        <f t="shared" si="1"/>
        <v>0</v>
      </c>
      <c r="K72" s="58">
        <f t="shared" si="2"/>
        <v>0</v>
      </c>
      <c r="L72" s="33"/>
      <c r="M72" s="58">
        <f t="shared" si="3"/>
        <v>0</v>
      </c>
      <c r="N72" s="58" t="str">
        <f t="shared" si="4"/>
        <v/>
      </c>
      <c r="O72" s="33"/>
      <c r="P72" s="33"/>
      <c r="Q72" s="33"/>
      <c r="R72" s="33"/>
      <c r="S72" s="33"/>
      <c r="T72" s="33"/>
      <c r="U72" s="33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7">
        <v>61.0</v>
      </c>
      <c r="C73" s="33"/>
      <c r="D73" s="56" t="str">
        <f>IF(C73="", "", IF(VLOOKUP(C73, Referensi!$C$5:$E$11, 3, TRUE) &gt; 1, VLOOKUP(C73, Referensi!$C$5:$E$11, 3, TRUE) / 100, VLOOKUP(C73, Referensi!$C$5:$E$11, 3, TRUE)))</f>
        <v/>
      </c>
      <c r="E73" s="56" t="str">
        <f>IF(C73="", "", IF(VLOOKUP(C73, Referensi!$C$5:$F$11, 4, TRUE) &gt; 1, VLOOKUP(C73, Referensi!$C$5:$F$11, 4, TRUE) / 100, VLOOKUP(C73, Referensi!$C$5:$F$11, 4, TRUE)))</f>
        <v/>
      </c>
      <c r="F73" s="33"/>
      <c r="G73" s="8" t="str">
        <f t="shared" si="5"/>
        <v/>
      </c>
      <c r="H73" s="38" t="str">
        <f t="shared" si="6"/>
        <v/>
      </c>
      <c r="I73" s="8" t="str">
        <f t="shared" si="7"/>
        <v/>
      </c>
      <c r="J73" s="57">
        <f t="shared" si="1"/>
        <v>0</v>
      </c>
      <c r="K73" s="58">
        <f t="shared" si="2"/>
        <v>0</v>
      </c>
      <c r="L73" s="33"/>
      <c r="M73" s="58">
        <f t="shared" si="3"/>
        <v>0</v>
      </c>
      <c r="N73" s="58" t="str">
        <f t="shared" si="4"/>
        <v/>
      </c>
      <c r="O73" s="33"/>
      <c r="P73" s="33"/>
      <c r="Q73" s="33"/>
      <c r="R73" s="33"/>
      <c r="S73" s="33"/>
      <c r="T73" s="33"/>
      <c r="U73" s="33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7">
        <v>62.0</v>
      </c>
      <c r="C74" s="33"/>
      <c r="D74" s="56" t="str">
        <f>IF(C74="", "", IF(VLOOKUP(C74, Referensi!$C$5:$E$11, 3, TRUE) &gt; 1, VLOOKUP(C74, Referensi!$C$5:$E$11, 3, TRUE) / 100, VLOOKUP(C74, Referensi!$C$5:$E$11, 3, TRUE)))</f>
        <v/>
      </c>
      <c r="E74" s="56" t="str">
        <f>IF(C74="", "", IF(VLOOKUP(C74, Referensi!$C$5:$F$11, 4, TRUE) &gt; 1, VLOOKUP(C74, Referensi!$C$5:$F$11, 4, TRUE) / 100, VLOOKUP(C74, Referensi!$C$5:$F$11, 4, TRUE)))</f>
        <v/>
      </c>
      <c r="F74" s="33"/>
      <c r="G74" s="8" t="str">
        <f t="shared" si="5"/>
        <v/>
      </c>
      <c r="H74" s="38" t="str">
        <f t="shared" si="6"/>
        <v/>
      </c>
      <c r="I74" s="8" t="str">
        <f t="shared" si="7"/>
        <v/>
      </c>
      <c r="J74" s="57">
        <f t="shared" si="1"/>
        <v>0</v>
      </c>
      <c r="K74" s="58">
        <f t="shared" si="2"/>
        <v>0</v>
      </c>
      <c r="L74" s="33"/>
      <c r="M74" s="58">
        <f t="shared" si="3"/>
        <v>0</v>
      </c>
      <c r="N74" s="58" t="str">
        <f t="shared" si="4"/>
        <v/>
      </c>
      <c r="O74" s="33"/>
      <c r="P74" s="33"/>
      <c r="Q74" s="33"/>
      <c r="R74" s="33"/>
      <c r="S74" s="33"/>
      <c r="T74" s="33"/>
      <c r="U74" s="33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7">
        <v>63.0</v>
      </c>
      <c r="C75" s="33"/>
      <c r="D75" s="56" t="str">
        <f>IF(C75="", "", IF(VLOOKUP(C75, Referensi!$C$5:$E$11, 3, TRUE) &gt; 1, VLOOKUP(C75, Referensi!$C$5:$E$11, 3, TRUE) / 100, VLOOKUP(C75, Referensi!$C$5:$E$11, 3, TRUE)))</f>
        <v/>
      </c>
      <c r="E75" s="56" t="str">
        <f>IF(C75="", "", IF(VLOOKUP(C75, Referensi!$C$5:$F$11, 4, TRUE) &gt; 1, VLOOKUP(C75, Referensi!$C$5:$F$11, 4, TRUE) / 100, VLOOKUP(C75, Referensi!$C$5:$F$11, 4, TRUE)))</f>
        <v/>
      </c>
      <c r="F75" s="33"/>
      <c r="G75" s="8" t="str">
        <f t="shared" si="5"/>
        <v/>
      </c>
      <c r="H75" s="38" t="str">
        <f t="shared" si="6"/>
        <v/>
      </c>
      <c r="I75" s="8" t="str">
        <f t="shared" si="7"/>
        <v/>
      </c>
      <c r="J75" s="57">
        <f t="shared" si="1"/>
        <v>0</v>
      </c>
      <c r="K75" s="58">
        <f t="shared" si="2"/>
        <v>0</v>
      </c>
      <c r="L75" s="33"/>
      <c r="M75" s="58">
        <f t="shared" si="3"/>
        <v>0</v>
      </c>
      <c r="N75" s="58" t="str">
        <f t="shared" si="4"/>
        <v/>
      </c>
      <c r="O75" s="33"/>
      <c r="P75" s="33"/>
      <c r="Q75" s="33"/>
      <c r="R75" s="33"/>
      <c r="S75" s="33"/>
      <c r="T75" s="33"/>
      <c r="U75" s="33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7">
        <v>64.0</v>
      </c>
      <c r="C76" s="33"/>
      <c r="D76" s="56" t="str">
        <f>IF(C76="", "", IF(VLOOKUP(C76, Referensi!$C$5:$E$11, 3, TRUE) &gt; 1, VLOOKUP(C76, Referensi!$C$5:$E$11, 3, TRUE) / 100, VLOOKUP(C76, Referensi!$C$5:$E$11, 3, TRUE)))</f>
        <v/>
      </c>
      <c r="E76" s="56" t="str">
        <f>IF(C76="", "", IF(VLOOKUP(C76, Referensi!$C$5:$F$11, 4, TRUE) &gt; 1, VLOOKUP(C76, Referensi!$C$5:$F$11, 4, TRUE) / 100, VLOOKUP(C76, Referensi!$C$5:$F$11, 4, TRUE)))</f>
        <v/>
      </c>
      <c r="F76" s="33"/>
      <c r="G76" s="8" t="str">
        <f t="shared" si="5"/>
        <v/>
      </c>
      <c r="H76" s="38" t="str">
        <f t="shared" si="6"/>
        <v/>
      </c>
      <c r="I76" s="8" t="str">
        <f t="shared" si="7"/>
        <v/>
      </c>
      <c r="J76" s="57">
        <f t="shared" si="1"/>
        <v>0</v>
      </c>
      <c r="K76" s="58">
        <f t="shared" si="2"/>
        <v>0</v>
      </c>
      <c r="L76" s="33"/>
      <c r="M76" s="58">
        <f t="shared" si="3"/>
        <v>0</v>
      </c>
      <c r="N76" s="58" t="str">
        <f t="shared" si="4"/>
        <v/>
      </c>
      <c r="O76" s="33"/>
      <c r="P76" s="33"/>
      <c r="Q76" s="33"/>
      <c r="R76" s="33"/>
      <c r="S76" s="33"/>
      <c r="T76" s="33"/>
      <c r="U76" s="33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7">
        <v>65.0</v>
      </c>
      <c r="C77" s="33"/>
      <c r="D77" s="56" t="str">
        <f>IF(C77="", "", IF(VLOOKUP(C77, Referensi!$C$5:$E$11, 3, TRUE) &gt; 1, VLOOKUP(C77, Referensi!$C$5:$E$11, 3, TRUE) / 100, VLOOKUP(C77, Referensi!$C$5:$E$11, 3, TRUE)))</f>
        <v/>
      </c>
      <c r="E77" s="56" t="str">
        <f>IF(C77="", "", IF(VLOOKUP(C77, Referensi!$C$5:$F$11, 4, TRUE) &gt; 1, VLOOKUP(C77, Referensi!$C$5:$F$11, 4, TRUE) / 100, VLOOKUP(C77, Referensi!$C$5:$F$11, 4, TRUE)))</f>
        <v/>
      </c>
      <c r="F77" s="33"/>
      <c r="G77" s="8" t="str">
        <f t="shared" si="5"/>
        <v/>
      </c>
      <c r="H77" s="38" t="str">
        <f t="shared" si="6"/>
        <v/>
      </c>
      <c r="I77" s="8" t="str">
        <f t="shared" si="7"/>
        <v/>
      </c>
      <c r="J77" s="57">
        <f t="shared" si="1"/>
        <v>0</v>
      </c>
      <c r="K77" s="58">
        <f t="shared" si="2"/>
        <v>0</v>
      </c>
      <c r="L77" s="33"/>
      <c r="M77" s="58">
        <f t="shared" si="3"/>
        <v>0</v>
      </c>
      <c r="N77" s="58" t="str">
        <f t="shared" si="4"/>
        <v/>
      </c>
      <c r="O77" s="33"/>
      <c r="P77" s="33"/>
      <c r="Q77" s="33"/>
      <c r="R77" s="33"/>
      <c r="S77" s="33"/>
      <c r="T77" s="33"/>
      <c r="U77" s="33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7">
        <v>66.0</v>
      </c>
      <c r="C78" s="33"/>
      <c r="D78" s="56" t="str">
        <f>IF(C78="", "", IF(VLOOKUP(C78, Referensi!$C$5:$E$11, 3, TRUE) &gt; 1, VLOOKUP(C78, Referensi!$C$5:$E$11, 3, TRUE) / 100, VLOOKUP(C78, Referensi!$C$5:$E$11, 3, TRUE)))</f>
        <v/>
      </c>
      <c r="E78" s="56" t="str">
        <f>IF(C78="", "", IF(VLOOKUP(C78, Referensi!$C$5:$F$11, 4, TRUE) &gt; 1, VLOOKUP(C78, Referensi!$C$5:$F$11, 4, TRUE) / 100, VLOOKUP(C78, Referensi!$C$5:$F$11, 4, TRUE)))</f>
        <v/>
      </c>
      <c r="F78" s="33"/>
      <c r="G78" s="8" t="str">
        <f t="shared" si="5"/>
        <v/>
      </c>
      <c r="H78" s="38" t="str">
        <f t="shared" si="6"/>
        <v/>
      </c>
      <c r="I78" s="8" t="str">
        <f t="shared" si="7"/>
        <v/>
      </c>
      <c r="J78" s="57">
        <f t="shared" si="1"/>
        <v>0</v>
      </c>
      <c r="K78" s="58">
        <f t="shared" si="2"/>
        <v>0</v>
      </c>
      <c r="L78" s="33"/>
      <c r="M78" s="58">
        <f t="shared" si="3"/>
        <v>0</v>
      </c>
      <c r="N78" s="58" t="str">
        <f t="shared" si="4"/>
        <v/>
      </c>
      <c r="O78" s="33"/>
      <c r="P78" s="33"/>
      <c r="Q78" s="33"/>
      <c r="R78" s="33"/>
      <c r="S78" s="33"/>
      <c r="T78" s="33"/>
      <c r="U78" s="33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7">
        <v>67.0</v>
      </c>
      <c r="C79" s="33"/>
      <c r="D79" s="56" t="str">
        <f>IF(C79="", "", IF(VLOOKUP(C79, Referensi!$C$5:$E$11, 3, TRUE) &gt; 1, VLOOKUP(C79, Referensi!$C$5:$E$11, 3, TRUE) / 100, VLOOKUP(C79, Referensi!$C$5:$E$11, 3, TRUE)))</f>
        <v/>
      </c>
      <c r="E79" s="56" t="str">
        <f>IF(C79="", "", IF(VLOOKUP(C79, Referensi!$C$5:$F$11, 4, TRUE) &gt; 1, VLOOKUP(C79, Referensi!$C$5:$F$11, 4, TRUE) / 100, VLOOKUP(C79, Referensi!$C$5:$F$11, 4, TRUE)))</f>
        <v/>
      </c>
      <c r="F79" s="33"/>
      <c r="G79" s="8" t="str">
        <f t="shared" si="5"/>
        <v/>
      </c>
      <c r="H79" s="38" t="str">
        <f t="shared" si="6"/>
        <v/>
      </c>
      <c r="I79" s="8" t="str">
        <f t="shared" si="7"/>
        <v/>
      </c>
      <c r="J79" s="57">
        <f t="shared" si="1"/>
        <v>0</v>
      </c>
      <c r="K79" s="58">
        <f t="shared" si="2"/>
        <v>0</v>
      </c>
      <c r="L79" s="33"/>
      <c r="M79" s="58">
        <f t="shared" si="3"/>
        <v>0</v>
      </c>
      <c r="N79" s="58" t="str">
        <f t="shared" si="4"/>
        <v/>
      </c>
      <c r="O79" s="33"/>
      <c r="P79" s="33"/>
      <c r="Q79" s="33"/>
      <c r="R79" s="33"/>
      <c r="S79" s="33"/>
      <c r="T79" s="33"/>
      <c r="U79" s="33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7">
        <v>68.0</v>
      </c>
      <c r="C80" s="33"/>
      <c r="D80" s="56" t="str">
        <f>IF(C80="", "", IF(VLOOKUP(C80, Referensi!$C$5:$E$11, 3, TRUE) &gt; 1, VLOOKUP(C80, Referensi!$C$5:$E$11, 3, TRUE) / 100, VLOOKUP(C80, Referensi!$C$5:$E$11, 3, TRUE)))</f>
        <v/>
      </c>
      <c r="E80" s="56" t="str">
        <f>IF(C80="", "", IF(VLOOKUP(C80, Referensi!$C$5:$F$11, 4, TRUE) &gt; 1, VLOOKUP(C80, Referensi!$C$5:$F$11, 4, TRUE) / 100, VLOOKUP(C80, Referensi!$C$5:$F$11, 4, TRUE)))</f>
        <v/>
      </c>
      <c r="F80" s="33"/>
      <c r="G80" s="8" t="str">
        <f t="shared" si="5"/>
        <v/>
      </c>
      <c r="H80" s="38" t="str">
        <f t="shared" si="6"/>
        <v/>
      </c>
      <c r="I80" s="8" t="str">
        <f t="shared" si="7"/>
        <v/>
      </c>
      <c r="J80" s="57">
        <f t="shared" si="1"/>
        <v>0</v>
      </c>
      <c r="K80" s="58">
        <f t="shared" si="2"/>
        <v>0</v>
      </c>
      <c r="L80" s="33"/>
      <c r="M80" s="58">
        <f t="shared" si="3"/>
        <v>0</v>
      </c>
      <c r="N80" s="58" t="str">
        <f t="shared" si="4"/>
        <v/>
      </c>
      <c r="O80" s="33"/>
      <c r="P80" s="33"/>
      <c r="Q80" s="33"/>
      <c r="R80" s="33"/>
      <c r="S80" s="33"/>
      <c r="T80" s="33"/>
      <c r="U80" s="33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7">
        <v>69.0</v>
      </c>
      <c r="C81" s="33"/>
      <c r="D81" s="56" t="str">
        <f>IF(C81="", "", IF(VLOOKUP(C81, Referensi!$C$5:$E$11, 3, TRUE) &gt; 1, VLOOKUP(C81, Referensi!$C$5:$E$11, 3, TRUE) / 100, VLOOKUP(C81, Referensi!$C$5:$E$11, 3, TRUE)))</f>
        <v/>
      </c>
      <c r="E81" s="56" t="str">
        <f>IF(C81="", "", IF(VLOOKUP(C81, Referensi!$C$5:$F$11, 4, TRUE) &gt; 1, VLOOKUP(C81, Referensi!$C$5:$F$11, 4, TRUE) / 100, VLOOKUP(C81, Referensi!$C$5:$F$11, 4, TRUE)))</f>
        <v/>
      </c>
      <c r="F81" s="33"/>
      <c r="G81" s="8" t="str">
        <f t="shared" si="5"/>
        <v/>
      </c>
      <c r="H81" s="38" t="str">
        <f t="shared" si="6"/>
        <v/>
      </c>
      <c r="I81" s="8" t="str">
        <f t="shared" si="7"/>
        <v/>
      </c>
      <c r="J81" s="57">
        <f t="shared" si="1"/>
        <v>0</v>
      </c>
      <c r="K81" s="58">
        <f t="shared" si="2"/>
        <v>0</v>
      </c>
      <c r="L81" s="33"/>
      <c r="M81" s="58">
        <f t="shared" si="3"/>
        <v>0</v>
      </c>
      <c r="N81" s="58" t="str">
        <f t="shared" si="4"/>
        <v/>
      </c>
      <c r="O81" s="33"/>
      <c r="P81" s="33"/>
      <c r="Q81" s="33"/>
      <c r="R81" s="33"/>
      <c r="S81" s="33"/>
      <c r="T81" s="33"/>
      <c r="U81" s="33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7">
        <v>70.0</v>
      </c>
      <c r="C82" s="33"/>
      <c r="D82" s="56" t="str">
        <f>IF(C82="", "", IF(VLOOKUP(C82, Referensi!$C$5:$E$11, 3, TRUE) &gt; 1, VLOOKUP(C82, Referensi!$C$5:$E$11, 3, TRUE) / 100, VLOOKUP(C82, Referensi!$C$5:$E$11, 3, TRUE)))</f>
        <v/>
      </c>
      <c r="E82" s="56" t="str">
        <f>IF(C82="", "", IF(VLOOKUP(C82, Referensi!$C$5:$F$11, 4, TRUE) &gt; 1, VLOOKUP(C82, Referensi!$C$5:$F$11, 4, TRUE) / 100, VLOOKUP(C82, Referensi!$C$5:$F$11, 4, TRUE)))</f>
        <v/>
      </c>
      <c r="F82" s="33"/>
      <c r="G82" s="8" t="str">
        <f t="shared" si="5"/>
        <v/>
      </c>
      <c r="H82" s="38" t="str">
        <f t="shared" si="6"/>
        <v/>
      </c>
      <c r="I82" s="8" t="str">
        <f t="shared" si="7"/>
        <v/>
      </c>
      <c r="J82" s="57">
        <f t="shared" si="1"/>
        <v>0</v>
      </c>
      <c r="K82" s="58">
        <f t="shared" si="2"/>
        <v>0</v>
      </c>
      <c r="L82" s="33"/>
      <c r="M82" s="58">
        <f t="shared" si="3"/>
        <v>0</v>
      </c>
      <c r="N82" s="58" t="str">
        <f t="shared" si="4"/>
        <v/>
      </c>
      <c r="O82" s="33"/>
      <c r="P82" s="33"/>
      <c r="Q82" s="33"/>
      <c r="R82" s="33"/>
      <c r="S82" s="33"/>
      <c r="T82" s="33"/>
      <c r="U82" s="33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7">
        <v>71.0</v>
      </c>
      <c r="C83" s="33"/>
      <c r="D83" s="56" t="str">
        <f>IF(C83="", "", IF(VLOOKUP(C83, Referensi!$C$5:$E$11, 3, TRUE) &gt; 1, VLOOKUP(C83, Referensi!$C$5:$E$11, 3, TRUE) / 100, VLOOKUP(C83, Referensi!$C$5:$E$11, 3, TRUE)))</f>
        <v/>
      </c>
      <c r="E83" s="56" t="str">
        <f>IF(C83="", "", IF(VLOOKUP(C83, Referensi!$C$5:$F$11, 4, TRUE) &gt; 1, VLOOKUP(C83, Referensi!$C$5:$F$11, 4, TRUE) / 100, VLOOKUP(C83, Referensi!$C$5:$F$11, 4, TRUE)))</f>
        <v/>
      </c>
      <c r="F83" s="33"/>
      <c r="G83" s="8" t="str">
        <f t="shared" si="5"/>
        <v/>
      </c>
      <c r="H83" s="38" t="str">
        <f t="shared" si="6"/>
        <v/>
      </c>
      <c r="I83" s="8" t="str">
        <f t="shared" si="7"/>
        <v/>
      </c>
      <c r="J83" s="57">
        <f t="shared" si="1"/>
        <v>0</v>
      </c>
      <c r="K83" s="58">
        <f t="shared" si="2"/>
        <v>0</v>
      </c>
      <c r="L83" s="33"/>
      <c r="M83" s="58">
        <f t="shared" si="3"/>
        <v>0</v>
      </c>
      <c r="N83" s="58" t="str">
        <f t="shared" si="4"/>
        <v/>
      </c>
      <c r="O83" s="33"/>
      <c r="P83" s="33"/>
      <c r="Q83" s="33"/>
      <c r="R83" s="33"/>
      <c r="S83" s="33"/>
      <c r="T83" s="33"/>
      <c r="U83" s="33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7">
        <v>72.0</v>
      </c>
      <c r="C84" s="33"/>
      <c r="D84" s="56" t="str">
        <f>IF(C84="", "", IF(VLOOKUP(C84, Referensi!$C$5:$E$11, 3, TRUE) &gt; 1, VLOOKUP(C84, Referensi!$C$5:$E$11, 3, TRUE) / 100, VLOOKUP(C84, Referensi!$C$5:$E$11, 3, TRUE)))</f>
        <v/>
      </c>
      <c r="E84" s="56" t="str">
        <f>IF(C84="", "", IF(VLOOKUP(C84, Referensi!$C$5:$F$11, 4, TRUE) &gt; 1, VLOOKUP(C84, Referensi!$C$5:$F$11, 4, TRUE) / 100, VLOOKUP(C84, Referensi!$C$5:$F$11, 4, TRUE)))</f>
        <v/>
      </c>
      <c r="F84" s="33"/>
      <c r="G84" s="8" t="str">
        <f t="shared" si="5"/>
        <v/>
      </c>
      <c r="H84" s="38" t="str">
        <f t="shared" si="6"/>
        <v/>
      </c>
      <c r="I84" s="8" t="str">
        <f t="shared" si="7"/>
        <v/>
      </c>
      <c r="J84" s="57">
        <f t="shared" si="1"/>
        <v>0</v>
      </c>
      <c r="K84" s="58">
        <f t="shared" si="2"/>
        <v>0</v>
      </c>
      <c r="L84" s="33"/>
      <c r="M84" s="58">
        <f t="shared" si="3"/>
        <v>0</v>
      </c>
      <c r="N84" s="58" t="str">
        <f t="shared" si="4"/>
        <v/>
      </c>
      <c r="O84" s="33"/>
      <c r="P84" s="33"/>
      <c r="Q84" s="33"/>
      <c r="R84" s="33"/>
      <c r="S84" s="33"/>
      <c r="T84" s="33"/>
      <c r="U84" s="33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7">
        <v>73.0</v>
      </c>
      <c r="C85" s="33"/>
      <c r="D85" s="56" t="str">
        <f>IF(C85="", "", IF(VLOOKUP(C85, Referensi!$C$5:$E$11, 3, TRUE) &gt; 1, VLOOKUP(C85, Referensi!$C$5:$E$11, 3, TRUE) / 100, VLOOKUP(C85, Referensi!$C$5:$E$11, 3, TRUE)))</f>
        <v/>
      </c>
      <c r="E85" s="56" t="str">
        <f>IF(C85="", "", IF(VLOOKUP(C85, Referensi!$C$5:$F$11, 4, TRUE) &gt; 1, VLOOKUP(C85, Referensi!$C$5:$F$11, 4, TRUE) / 100, VLOOKUP(C85, Referensi!$C$5:$F$11, 4, TRUE)))</f>
        <v/>
      </c>
      <c r="F85" s="33"/>
      <c r="G85" s="8" t="str">
        <f t="shared" si="5"/>
        <v/>
      </c>
      <c r="H85" s="38" t="str">
        <f t="shared" si="6"/>
        <v/>
      </c>
      <c r="I85" s="8" t="str">
        <f t="shared" si="7"/>
        <v/>
      </c>
      <c r="J85" s="57">
        <f t="shared" si="1"/>
        <v>0</v>
      </c>
      <c r="K85" s="58">
        <f t="shared" si="2"/>
        <v>0</v>
      </c>
      <c r="L85" s="33"/>
      <c r="M85" s="58">
        <f t="shared" si="3"/>
        <v>0</v>
      </c>
      <c r="N85" s="58" t="str">
        <f t="shared" si="4"/>
        <v/>
      </c>
      <c r="O85" s="33"/>
      <c r="P85" s="33"/>
      <c r="Q85" s="33"/>
      <c r="R85" s="33"/>
      <c r="S85" s="33"/>
      <c r="T85" s="33"/>
      <c r="U85" s="33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7">
        <v>74.0</v>
      </c>
      <c r="C86" s="33"/>
      <c r="D86" s="56" t="str">
        <f>IF(C86="", "", IF(VLOOKUP(C86, Referensi!$C$5:$E$11, 3, TRUE) &gt; 1, VLOOKUP(C86, Referensi!$C$5:$E$11, 3, TRUE) / 100, VLOOKUP(C86, Referensi!$C$5:$E$11, 3, TRUE)))</f>
        <v/>
      </c>
      <c r="E86" s="56" t="str">
        <f>IF(C86="", "", IF(VLOOKUP(C86, Referensi!$C$5:$F$11, 4, TRUE) &gt; 1, VLOOKUP(C86, Referensi!$C$5:$F$11, 4, TRUE) / 100, VLOOKUP(C86, Referensi!$C$5:$F$11, 4, TRUE)))</f>
        <v/>
      </c>
      <c r="F86" s="33"/>
      <c r="G86" s="8" t="str">
        <f t="shared" si="5"/>
        <v/>
      </c>
      <c r="H86" s="38" t="str">
        <f t="shared" si="6"/>
        <v/>
      </c>
      <c r="I86" s="8" t="str">
        <f t="shared" si="7"/>
        <v/>
      </c>
      <c r="J86" s="57">
        <f t="shared" si="1"/>
        <v>0</v>
      </c>
      <c r="K86" s="58">
        <f t="shared" si="2"/>
        <v>0</v>
      </c>
      <c r="L86" s="33"/>
      <c r="M86" s="58">
        <f t="shared" si="3"/>
        <v>0</v>
      </c>
      <c r="N86" s="58" t="str">
        <f t="shared" si="4"/>
        <v/>
      </c>
      <c r="O86" s="33"/>
      <c r="P86" s="33"/>
      <c r="Q86" s="33"/>
      <c r="R86" s="33"/>
      <c r="S86" s="33"/>
      <c r="T86" s="33"/>
      <c r="U86" s="33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7">
        <v>75.0</v>
      </c>
      <c r="C87" s="33"/>
      <c r="D87" s="56" t="str">
        <f>IF(C87="", "", IF(VLOOKUP(C87, Referensi!$C$5:$E$11, 3, TRUE) &gt; 1, VLOOKUP(C87, Referensi!$C$5:$E$11, 3, TRUE) / 100, VLOOKUP(C87, Referensi!$C$5:$E$11, 3, TRUE)))</f>
        <v/>
      </c>
      <c r="E87" s="56" t="str">
        <f>IF(C87="", "", IF(VLOOKUP(C87, Referensi!$C$5:$F$11, 4, TRUE) &gt; 1, VLOOKUP(C87, Referensi!$C$5:$F$11, 4, TRUE) / 100, VLOOKUP(C87, Referensi!$C$5:$F$11, 4, TRUE)))</f>
        <v/>
      </c>
      <c r="F87" s="33"/>
      <c r="G87" s="8" t="str">
        <f t="shared" si="5"/>
        <v/>
      </c>
      <c r="H87" s="38" t="str">
        <f t="shared" si="6"/>
        <v/>
      </c>
      <c r="I87" s="8" t="str">
        <f t="shared" si="7"/>
        <v/>
      </c>
      <c r="J87" s="57">
        <f t="shared" si="1"/>
        <v>0</v>
      </c>
      <c r="K87" s="58">
        <f t="shared" si="2"/>
        <v>0</v>
      </c>
      <c r="L87" s="33"/>
      <c r="M87" s="58">
        <f t="shared" si="3"/>
        <v>0</v>
      </c>
      <c r="N87" s="58" t="str">
        <f t="shared" si="4"/>
        <v/>
      </c>
      <c r="O87" s="33"/>
      <c r="P87" s="33"/>
      <c r="Q87" s="33"/>
      <c r="R87" s="33"/>
      <c r="S87" s="33"/>
      <c r="T87" s="33"/>
      <c r="U87" s="33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7">
        <v>76.0</v>
      </c>
      <c r="C88" s="33"/>
      <c r="D88" s="56" t="str">
        <f>IF(C88="", "", IF(VLOOKUP(C88, Referensi!$C$5:$E$11, 3, TRUE) &gt; 1, VLOOKUP(C88, Referensi!$C$5:$E$11, 3, TRUE) / 100, VLOOKUP(C88, Referensi!$C$5:$E$11, 3, TRUE)))</f>
        <v/>
      </c>
      <c r="E88" s="56" t="str">
        <f>IF(C88="", "", IF(VLOOKUP(C88, Referensi!$C$5:$F$11, 4, TRUE) &gt; 1, VLOOKUP(C88, Referensi!$C$5:$F$11, 4, TRUE) / 100, VLOOKUP(C88, Referensi!$C$5:$F$11, 4, TRUE)))</f>
        <v/>
      </c>
      <c r="F88" s="33"/>
      <c r="G88" s="8" t="str">
        <f t="shared" si="5"/>
        <v/>
      </c>
      <c r="H88" s="38" t="str">
        <f t="shared" si="6"/>
        <v/>
      </c>
      <c r="I88" s="8" t="str">
        <f t="shared" si="7"/>
        <v/>
      </c>
      <c r="J88" s="57">
        <f t="shared" si="1"/>
        <v>0</v>
      </c>
      <c r="K88" s="58">
        <f t="shared" si="2"/>
        <v>0</v>
      </c>
      <c r="L88" s="33"/>
      <c r="M88" s="58">
        <f t="shared" si="3"/>
        <v>0</v>
      </c>
      <c r="N88" s="58" t="str">
        <f t="shared" si="4"/>
        <v/>
      </c>
      <c r="O88" s="33"/>
      <c r="P88" s="33"/>
      <c r="Q88" s="33"/>
      <c r="R88" s="33"/>
      <c r="S88" s="33"/>
      <c r="T88" s="33"/>
      <c r="U88" s="33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7">
        <v>77.0</v>
      </c>
      <c r="C89" s="33"/>
      <c r="D89" s="56" t="str">
        <f>IF(C89="", "", IF(VLOOKUP(C89, Referensi!$C$5:$E$11, 3, TRUE) &gt; 1, VLOOKUP(C89, Referensi!$C$5:$E$11, 3, TRUE) / 100, VLOOKUP(C89, Referensi!$C$5:$E$11, 3, TRUE)))</f>
        <v/>
      </c>
      <c r="E89" s="56" t="str">
        <f>IF(C89="", "", IF(VLOOKUP(C89, Referensi!$C$5:$F$11, 4, TRUE) &gt; 1, VLOOKUP(C89, Referensi!$C$5:$F$11, 4, TRUE) / 100, VLOOKUP(C89, Referensi!$C$5:$F$11, 4, TRUE)))</f>
        <v/>
      </c>
      <c r="F89" s="33"/>
      <c r="G89" s="8" t="str">
        <f t="shared" si="5"/>
        <v/>
      </c>
      <c r="H89" s="38" t="str">
        <f t="shared" si="6"/>
        <v/>
      </c>
      <c r="I89" s="8" t="str">
        <f t="shared" si="7"/>
        <v/>
      </c>
      <c r="J89" s="57">
        <f t="shared" si="1"/>
        <v>0</v>
      </c>
      <c r="K89" s="58">
        <f t="shared" si="2"/>
        <v>0</v>
      </c>
      <c r="L89" s="33"/>
      <c r="M89" s="58">
        <f t="shared" si="3"/>
        <v>0</v>
      </c>
      <c r="N89" s="58" t="str">
        <f t="shared" si="4"/>
        <v/>
      </c>
      <c r="O89" s="33"/>
      <c r="P89" s="33"/>
      <c r="Q89" s="33"/>
      <c r="R89" s="33"/>
      <c r="S89" s="33"/>
      <c r="T89" s="33"/>
      <c r="U89" s="33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7">
        <v>78.0</v>
      </c>
      <c r="C90" s="33"/>
      <c r="D90" s="56" t="str">
        <f>IF(C90="", "", IF(VLOOKUP(C90, Referensi!$C$5:$E$11, 3, TRUE) &gt; 1, VLOOKUP(C90, Referensi!$C$5:$E$11, 3, TRUE) / 100, VLOOKUP(C90, Referensi!$C$5:$E$11, 3, TRUE)))</f>
        <v/>
      </c>
      <c r="E90" s="56" t="str">
        <f>IF(C90="", "", IF(VLOOKUP(C90, Referensi!$C$5:$F$11, 4, TRUE) &gt; 1, VLOOKUP(C90, Referensi!$C$5:$F$11, 4, TRUE) / 100, VLOOKUP(C90, Referensi!$C$5:$F$11, 4, TRUE)))</f>
        <v/>
      </c>
      <c r="F90" s="33"/>
      <c r="G90" s="8" t="str">
        <f t="shared" si="5"/>
        <v/>
      </c>
      <c r="H90" s="38" t="str">
        <f t="shared" si="6"/>
        <v/>
      </c>
      <c r="I90" s="8" t="str">
        <f t="shared" si="7"/>
        <v/>
      </c>
      <c r="J90" s="57">
        <f t="shared" si="1"/>
        <v>0</v>
      </c>
      <c r="K90" s="58">
        <f t="shared" si="2"/>
        <v>0</v>
      </c>
      <c r="L90" s="33"/>
      <c r="M90" s="58">
        <f t="shared" si="3"/>
        <v>0</v>
      </c>
      <c r="N90" s="58" t="str">
        <f t="shared" si="4"/>
        <v/>
      </c>
      <c r="O90" s="33"/>
      <c r="P90" s="33"/>
      <c r="Q90" s="33"/>
      <c r="R90" s="33"/>
      <c r="S90" s="33"/>
      <c r="T90" s="33"/>
      <c r="U90" s="33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7">
        <v>79.0</v>
      </c>
      <c r="C91" s="33"/>
      <c r="D91" s="56" t="str">
        <f>IF(C91="", "", IF(VLOOKUP(C91, Referensi!$C$5:$E$11, 3, TRUE) &gt; 1, VLOOKUP(C91, Referensi!$C$5:$E$11, 3, TRUE) / 100, VLOOKUP(C91, Referensi!$C$5:$E$11, 3, TRUE)))</f>
        <v/>
      </c>
      <c r="E91" s="56" t="str">
        <f>IF(C91="", "", IF(VLOOKUP(C91, Referensi!$C$5:$F$11, 4, TRUE) &gt; 1, VLOOKUP(C91, Referensi!$C$5:$F$11, 4, TRUE) / 100, VLOOKUP(C91, Referensi!$C$5:$F$11, 4, TRUE)))</f>
        <v/>
      </c>
      <c r="F91" s="33"/>
      <c r="G91" s="8" t="str">
        <f t="shared" si="5"/>
        <v/>
      </c>
      <c r="H91" s="38" t="str">
        <f t="shared" si="6"/>
        <v/>
      </c>
      <c r="I91" s="8" t="str">
        <f t="shared" si="7"/>
        <v/>
      </c>
      <c r="J91" s="57">
        <f t="shared" si="1"/>
        <v>0</v>
      </c>
      <c r="K91" s="58">
        <f t="shared" si="2"/>
        <v>0</v>
      </c>
      <c r="L91" s="33"/>
      <c r="M91" s="58">
        <f t="shared" si="3"/>
        <v>0</v>
      </c>
      <c r="N91" s="58" t="str">
        <f t="shared" si="4"/>
        <v/>
      </c>
      <c r="O91" s="33"/>
      <c r="P91" s="33"/>
      <c r="Q91" s="33"/>
      <c r="R91" s="33"/>
      <c r="S91" s="33"/>
      <c r="T91" s="33"/>
      <c r="U91" s="33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7">
        <v>80.0</v>
      </c>
      <c r="C92" s="33"/>
      <c r="D92" s="56" t="str">
        <f>IF(C92="", "", IF(VLOOKUP(C92, Referensi!$C$5:$E$11, 3, TRUE) &gt; 1, VLOOKUP(C92, Referensi!$C$5:$E$11, 3, TRUE) / 100, VLOOKUP(C92, Referensi!$C$5:$E$11, 3, TRUE)))</f>
        <v/>
      </c>
      <c r="E92" s="56" t="str">
        <f>IF(C92="", "", IF(VLOOKUP(C92, Referensi!$C$5:$F$11, 4, TRUE) &gt; 1, VLOOKUP(C92, Referensi!$C$5:$F$11, 4, TRUE) / 100, VLOOKUP(C92, Referensi!$C$5:$F$11, 4, TRUE)))</f>
        <v/>
      </c>
      <c r="F92" s="33"/>
      <c r="G92" s="8" t="str">
        <f t="shared" si="5"/>
        <v/>
      </c>
      <c r="H92" s="38" t="str">
        <f t="shared" si="6"/>
        <v/>
      </c>
      <c r="I92" s="8" t="str">
        <f t="shared" si="7"/>
        <v/>
      </c>
      <c r="J92" s="57">
        <f t="shared" si="1"/>
        <v>0</v>
      </c>
      <c r="K92" s="58">
        <f t="shared" si="2"/>
        <v>0</v>
      </c>
      <c r="L92" s="33"/>
      <c r="M92" s="58">
        <f t="shared" si="3"/>
        <v>0</v>
      </c>
      <c r="N92" s="58" t="str">
        <f t="shared" si="4"/>
        <v/>
      </c>
      <c r="O92" s="33"/>
      <c r="P92" s="33"/>
      <c r="Q92" s="33"/>
      <c r="R92" s="33"/>
      <c r="S92" s="33"/>
      <c r="T92" s="33"/>
      <c r="U92" s="33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7">
        <v>81.0</v>
      </c>
      <c r="C93" s="33"/>
      <c r="D93" s="56" t="str">
        <f>IF(C93="", "", IF(VLOOKUP(C93, Referensi!$C$5:$E$11, 3, TRUE) &gt; 1, VLOOKUP(C93, Referensi!$C$5:$E$11, 3, TRUE) / 100, VLOOKUP(C93, Referensi!$C$5:$E$11, 3, TRUE)))</f>
        <v/>
      </c>
      <c r="E93" s="56" t="str">
        <f>IF(C93="", "", IF(VLOOKUP(C93, Referensi!$C$5:$F$11, 4, TRUE) &gt; 1, VLOOKUP(C93, Referensi!$C$5:$F$11, 4, TRUE) / 100, VLOOKUP(C93, Referensi!$C$5:$F$11, 4, TRUE)))</f>
        <v/>
      </c>
      <c r="F93" s="33"/>
      <c r="G93" s="8" t="str">
        <f t="shared" si="5"/>
        <v/>
      </c>
      <c r="H93" s="38" t="str">
        <f t="shared" si="6"/>
        <v/>
      </c>
      <c r="I93" s="8" t="str">
        <f t="shared" si="7"/>
        <v/>
      </c>
      <c r="J93" s="57">
        <f t="shared" si="1"/>
        <v>0</v>
      </c>
      <c r="K93" s="58">
        <f t="shared" si="2"/>
        <v>0</v>
      </c>
      <c r="L93" s="33"/>
      <c r="M93" s="58">
        <f t="shared" si="3"/>
        <v>0</v>
      </c>
      <c r="N93" s="58" t="str">
        <f t="shared" si="4"/>
        <v/>
      </c>
      <c r="O93" s="33"/>
      <c r="P93" s="33"/>
      <c r="Q93" s="33"/>
      <c r="R93" s="33"/>
      <c r="S93" s="33"/>
      <c r="T93" s="33"/>
      <c r="U93" s="33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7">
        <v>82.0</v>
      </c>
      <c r="C94" s="33"/>
      <c r="D94" s="56" t="str">
        <f>IF(C94="", "", IF(VLOOKUP(C94, Referensi!$C$5:$E$11, 3, TRUE) &gt; 1, VLOOKUP(C94, Referensi!$C$5:$E$11, 3, TRUE) / 100, VLOOKUP(C94, Referensi!$C$5:$E$11, 3, TRUE)))</f>
        <v/>
      </c>
      <c r="E94" s="56" t="str">
        <f>IF(C94="", "", IF(VLOOKUP(C94, Referensi!$C$5:$F$11, 4, TRUE) &gt; 1, VLOOKUP(C94, Referensi!$C$5:$F$11, 4, TRUE) / 100, VLOOKUP(C94, Referensi!$C$5:$F$11, 4, TRUE)))</f>
        <v/>
      </c>
      <c r="F94" s="33"/>
      <c r="G94" s="8" t="str">
        <f t="shared" si="5"/>
        <v/>
      </c>
      <c r="H94" s="38" t="str">
        <f t="shared" si="6"/>
        <v/>
      </c>
      <c r="I94" s="8" t="str">
        <f t="shared" si="7"/>
        <v/>
      </c>
      <c r="J94" s="57">
        <f t="shared" si="1"/>
        <v>0</v>
      </c>
      <c r="K94" s="58">
        <f t="shared" si="2"/>
        <v>0</v>
      </c>
      <c r="L94" s="33"/>
      <c r="M94" s="58">
        <f t="shared" si="3"/>
        <v>0</v>
      </c>
      <c r="N94" s="58" t="str">
        <f t="shared" si="4"/>
        <v/>
      </c>
      <c r="O94" s="33"/>
      <c r="P94" s="33"/>
      <c r="Q94" s="33"/>
      <c r="R94" s="33"/>
      <c r="S94" s="33"/>
      <c r="T94" s="33"/>
      <c r="U94" s="33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7">
        <v>83.0</v>
      </c>
      <c r="C95" s="33"/>
      <c r="D95" s="56" t="str">
        <f>IF(C95="", "", IF(VLOOKUP(C95, Referensi!$C$5:$E$11, 3, TRUE) &gt; 1, VLOOKUP(C95, Referensi!$C$5:$E$11, 3, TRUE) / 100, VLOOKUP(C95, Referensi!$C$5:$E$11, 3, TRUE)))</f>
        <v/>
      </c>
      <c r="E95" s="56" t="str">
        <f>IF(C95="", "", IF(VLOOKUP(C95, Referensi!$C$5:$F$11, 4, TRUE) &gt; 1, VLOOKUP(C95, Referensi!$C$5:$F$11, 4, TRUE) / 100, VLOOKUP(C95, Referensi!$C$5:$F$11, 4, TRUE)))</f>
        <v/>
      </c>
      <c r="F95" s="33"/>
      <c r="G95" s="8" t="str">
        <f t="shared" si="5"/>
        <v/>
      </c>
      <c r="H95" s="38" t="str">
        <f t="shared" si="6"/>
        <v/>
      </c>
      <c r="I95" s="8" t="str">
        <f t="shared" si="7"/>
        <v/>
      </c>
      <c r="J95" s="57">
        <f t="shared" si="1"/>
        <v>0</v>
      </c>
      <c r="K95" s="58">
        <f t="shared" si="2"/>
        <v>0</v>
      </c>
      <c r="L95" s="33"/>
      <c r="M95" s="58">
        <f t="shared" si="3"/>
        <v>0</v>
      </c>
      <c r="N95" s="58" t="str">
        <f t="shared" si="4"/>
        <v/>
      </c>
      <c r="O95" s="33"/>
      <c r="P95" s="33"/>
      <c r="Q95" s="33"/>
      <c r="R95" s="33"/>
      <c r="S95" s="33"/>
      <c r="T95" s="33"/>
      <c r="U95" s="33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7">
        <v>84.0</v>
      </c>
      <c r="C96" s="33"/>
      <c r="D96" s="56" t="str">
        <f>IF(C96="", "", IF(VLOOKUP(C96, Referensi!$C$5:$E$11, 3, TRUE) &gt; 1, VLOOKUP(C96, Referensi!$C$5:$E$11, 3, TRUE) / 100, VLOOKUP(C96, Referensi!$C$5:$E$11, 3, TRUE)))</f>
        <v/>
      </c>
      <c r="E96" s="56" t="str">
        <f>IF(C96="", "", IF(VLOOKUP(C96, Referensi!$C$5:$F$11, 4, TRUE) &gt; 1, VLOOKUP(C96, Referensi!$C$5:$F$11, 4, TRUE) / 100, VLOOKUP(C96, Referensi!$C$5:$F$11, 4, TRUE)))</f>
        <v/>
      </c>
      <c r="F96" s="33"/>
      <c r="G96" s="8" t="str">
        <f t="shared" si="5"/>
        <v/>
      </c>
      <c r="H96" s="38" t="str">
        <f t="shared" si="6"/>
        <v/>
      </c>
      <c r="I96" s="8" t="str">
        <f t="shared" si="7"/>
        <v/>
      </c>
      <c r="J96" s="57">
        <f t="shared" si="1"/>
        <v>0</v>
      </c>
      <c r="K96" s="58">
        <f t="shared" si="2"/>
        <v>0</v>
      </c>
      <c r="L96" s="33"/>
      <c r="M96" s="58">
        <f t="shared" si="3"/>
        <v>0</v>
      </c>
      <c r="N96" s="58" t="str">
        <f t="shared" si="4"/>
        <v/>
      </c>
      <c r="O96" s="33"/>
      <c r="P96" s="33"/>
      <c r="Q96" s="33"/>
      <c r="R96" s="33"/>
      <c r="S96" s="33"/>
      <c r="T96" s="33"/>
      <c r="U96" s="33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7">
        <v>85.0</v>
      </c>
      <c r="C97" s="33"/>
      <c r="D97" s="56" t="str">
        <f>IF(C97="", "", IF(VLOOKUP(C97, Referensi!$C$5:$E$11, 3, TRUE) &gt; 1, VLOOKUP(C97, Referensi!$C$5:$E$11, 3, TRUE) / 100, VLOOKUP(C97, Referensi!$C$5:$E$11, 3, TRUE)))</f>
        <v/>
      </c>
      <c r="E97" s="56" t="str">
        <f>IF(C97="", "", IF(VLOOKUP(C97, Referensi!$C$5:$F$11, 4, TRUE) &gt; 1, VLOOKUP(C97, Referensi!$C$5:$F$11, 4, TRUE) / 100, VLOOKUP(C97, Referensi!$C$5:$F$11, 4, TRUE)))</f>
        <v/>
      </c>
      <c r="F97" s="33"/>
      <c r="G97" s="8" t="str">
        <f t="shared" si="5"/>
        <v/>
      </c>
      <c r="H97" s="38" t="str">
        <f t="shared" si="6"/>
        <v/>
      </c>
      <c r="I97" s="8" t="str">
        <f t="shared" si="7"/>
        <v/>
      </c>
      <c r="J97" s="57">
        <f t="shared" si="1"/>
        <v>0</v>
      </c>
      <c r="K97" s="58">
        <f t="shared" si="2"/>
        <v>0</v>
      </c>
      <c r="L97" s="33"/>
      <c r="M97" s="58">
        <f t="shared" si="3"/>
        <v>0</v>
      </c>
      <c r="N97" s="58" t="str">
        <f t="shared" si="4"/>
        <v/>
      </c>
      <c r="O97" s="33"/>
      <c r="P97" s="33"/>
      <c r="Q97" s="33"/>
      <c r="R97" s="33"/>
      <c r="S97" s="33"/>
      <c r="T97" s="33"/>
      <c r="U97" s="33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7">
        <v>86.0</v>
      </c>
      <c r="C98" s="33"/>
      <c r="D98" s="56" t="str">
        <f>IF(C98="", "", IF(VLOOKUP(C98, Referensi!$C$5:$E$11, 3, TRUE) &gt; 1, VLOOKUP(C98, Referensi!$C$5:$E$11, 3, TRUE) / 100, VLOOKUP(C98, Referensi!$C$5:$E$11, 3, TRUE)))</f>
        <v/>
      </c>
      <c r="E98" s="56" t="str">
        <f>IF(C98="", "", IF(VLOOKUP(C98, Referensi!$C$5:$F$11, 4, TRUE) &gt; 1, VLOOKUP(C98, Referensi!$C$5:$F$11, 4, TRUE) / 100, VLOOKUP(C98, Referensi!$C$5:$F$11, 4, TRUE)))</f>
        <v/>
      </c>
      <c r="F98" s="33"/>
      <c r="G98" s="8" t="str">
        <f t="shared" si="5"/>
        <v/>
      </c>
      <c r="H98" s="38" t="str">
        <f t="shared" si="6"/>
        <v/>
      </c>
      <c r="I98" s="8" t="str">
        <f t="shared" si="7"/>
        <v/>
      </c>
      <c r="J98" s="57">
        <f t="shared" si="1"/>
        <v>0</v>
      </c>
      <c r="K98" s="58">
        <f t="shared" si="2"/>
        <v>0</v>
      </c>
      <c r="L98" s="33"/>
      <c r="M98" s="58">
        <f t="shared" si="3"/>
        <v>0</v>
      </c>
      <c r="N98" s="58" t="str">
        <f t="shared" si="4"/>
        <v/>
      </c>
      <c r="O98" s="33"/>
      <c r="P98" s="33"/>
      <c r="Q98" s="33"/>
      <c r="R98" s="33"/>
      <c r="S98" s="33"/>
      <c r="T98" s="33"/>
      <c r="U98" s="33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7">
        <v>87.0</v>
      </c>
      <c r="C99" s="33"/>
      <c r="D99" s="56" t="str">
        <f>IF(C99="", "", IF(VLOOKUP(C99, Referensi!$C$5:$E$11, 3, TRUE) &gt; 1, VLOOKUP(C99, Referensi!$C$5:$E$11, 3, TRUE) / 100, VLOOKUP(C99, Referensi!$C$5:$E$11, 3, TRUE)))</f>
        <v/>
      </c>
      <c r="E99" s="56" t="str">
        <f>IF(C99="", "", IF(VLOOKUP(C99, Referensi!$C$5:$F$11, 4, TRUE) &gt; 1, VLOOKUP(C99, Referensi!$C$5:$F$11, 4, TRUE) / 100, VLOOKUP(C99, Referensi!$C$5:$F$11, 4, TRUE)))</f>
        <v/>
      </c>
      <c r="F99" s="33"/>
      <c r="G99" s="8" t="str">
        <f t="shared" si="5"/>
        <v/>
      </c>
      <c r="H99" s="38" t="str">
        <f t="shared" si="6"/>
        <v/>
      </c>
      <c r="I99" s="8" t="str">
        <f t="shared" si="7"/>
        <v/>
      </c>
      <c r="J99" s="57">
        <f t="shared" si="1"/>
        <v>0</v>
      </c>
      <c r="K99" s="58">
        <f t="shared" si="2"/>
        <v>0</v>
      </c>
      <c r="L99" s="33"/>
      <c r="M99" s="58">
        <f t="shared" si="3"/>
        <v>0</v>
      </c>
      <c r="N99" s="58" t="str">
        <f t="shared" si="4"/>
        <v/>
      </c>
      <c r="O99" s="33"/>
      <c r="P99" s="33"/>
      <c r="Q99" s="33"/>
      <c r="R99" s="33"/>
      <c r="S99" s="33"/>
      <c r="T99" s="33"/>
      <c r="U99" s="33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7">
        <v>88.0</v>
      </c>
      <c r="C100" s="33"/>
      <c r="D100" s="56" t="str">
        <f>IF(C100="", "", IF(VLOOKUP(C100, Referensi!$C$5:$E$11, 3, TRUE) &gt; 1, VLOOKUP(C100, Referensi!$C$5:$E$11, 3, TRUE) / 100, VLOOKUP(C100, Referensi!$C$5:$E$11, 3, TRUE)))</f>
        <v/>
      </c>
      <c r="E100" s="56" t="str">
        <f>IF(C100="", "", IF(VLOOKUP(C100, Referensi!$C$5:$F$11, 4, TRUE) &gt; 1, VLOOKUP(C100, Referensi!$C$5:$F$11, 4, TRUE) / 100, VLOOKUP(C100, Referensi!$C$5:$F$11, 4, TRUE)))</f>
        <v/>
      </c>
      <c r="F100" s="33"/>
      <c r="G100" s="8" t="str">
        <f t="shared" si="5"/>
        <v/>
      </c>
      <c r="H100" s="38" t="str">
        <f t="shared" si="6"/>
        <v/>
      </c>
      <c r="I100" s="8" t="str">
        <f t="shared" si="7"/>
        <v/>
      </c>
      <c r="J100" s="57">
        <f t="shared" si="1"/>
        <v>0</v>
      </c>
      <c r="K100" s="58">
        <f t="shared" si="2"/>
        <v>0</v>
      </c>
      <c r="L100" s="33"/>
      <c r="M100" s="58">
        <f t="shared" si="3"/>
        <v>0</v>
      </c>
      <c r="N100" s="58" t="str">
        <f t="shared" si="4"/>
        <v/>
      </c>
      <c r="O100" s="33"/>
      <c r="P100" s="33"/>
      <c r="Q100" s="33"/>
      <c r="R100" s="33"/>
      <c r="S100" s="33"/>
      <c r="T100" s="33"/>
      <c r="U100" s="33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7">
        <v>89.0</v>
      </c>
      <c r="C101" s="33"/>
      <c r="D101" s="56" t="str">
        <f>IF(C101="", "", IF(VLOOKUP(C101, Referensi!$C$5:$E$11, 3, TRUE) &gt; 1, VLOOKUP(C101, Referensi!$C$5:$E$11, 3, TRUE) / 100, VLOOKUP(C101, Referensi!$C$5:$E$11, 3, TRUE)))</f>
        <v/>
      </c>
      <c r="E101" s="56" t="str">
        <f>IF(C101="", "", IF(VLOOKUP(C101, Referensi!$C$5:$F$11, 4, TRUE) &gt; 1, VLOOKUP(C101, Referensi!$C$5:$F$11, 4, TRUE) / 100, VLOOKUP(C101, Referensi!$C$5:$F$11, 4, TRUE)))</f>
        <v/>
      </c>
      <c r="F101" s="33"/>
      <c r="G101" s="8" t="str">
        <f t="shared" si="5"/>
        <v/>
      </c>
      <c r="H101" s="38" t="str">
        <f t="shared" si="6"/>
        <v/>
      </c>
      <c r="I101" s="8" t="str">
        <f t="shared" si="7"/>
        <v/>
      </c>
      <c r="J101" s="57">
        <f t="shared" si="1"/>
        <v>0</v>
      </c>
      <c r="K101" s="58">
        <f t="shared" si="2"/>
        <v>0</v>
      </c>
      <c r="L101" s="33"/>
      <c r="M101" s="58">
        <f t="shared" si="3"/>
        <v>0</v>
      </c>
      <c r="N101" s="58" t="str">
        <f t="shared" si="4"/>
        <v/>
      </c>
      <c r="O101" s="33"/>
      <c r="P101" s="33"/>
      <c r="Q101" s="33"/>
      <c r="R101" s="33"/>
      <c r="S101" s="33"/>
      <c r="T101" s="33"/>
      <c r="U101" s="33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7">
        <v>90.0</v>
      </c>
      <c r="C102" s="33"/>
      <c r="D102" s="56" t="str">
        <f>IF(C102="", "", IF(VLOOKUP(C102, Referensi!$C$5:$E$11, 3, TRUE) &gt; 1, VLOOKUP(C102, Referensi!$C$5:$E$11, 3, TRUE) / 100, VLOOKUP(C102, Referensi!$C$5:$E$11, 3, TRUE)))</f>
        <v/>
      </c>
      <c r="E102" s="56" t="str">
        <f>IF(C102="", "", IF(VLOOKUP(C102, Referensi!$C$5:$F$11, 4, TRUE) &gt; 1, VLOOKUP(C102, Referensi!$C$5:$F$11, 4, TRUE) / 100, VLOOKUP(C102, Referensi!$C$5:$F$11, 4, TRUE)))</f>
        <v/>
      </c>
      <c r="F102" s="33"/>
      <c r="G102" s="8" t="str">
        <f t="shared" si="5"/>
        <v/>
      </c>
      <c r="H102" s="38" t="str">
        <f t="shared" si="6"/>
        <v/>
      </c>
      <c r="I102" s="8" t="str">
        <f t="shared" si="7"/>
        <v/>
      </c>
      <c r="J102" s="57">
        <f t="shared" si="1"/>
        <v>0</v>
      </c>
      <c r="K102" s="58">
        <f t="shared" si="2"/>
        <v>0</v>
      </c>
      <c r="L102" s="33"/>
      <c r="M102" s="58">
        <f t="shared" si="3"/>
        <v>0</v>
      </c>
      <c r="N102" s="58" t="str">
        <f t="shared" si="4"/>
        <v/>
      </c>
      <c r="O102" s="33"/>
      <c r="P102" s="33"/>
      <c r="Q102" s="33"/>
      <c r="R102" s="33"/>
      <c r="S102" s="33"/>
      <c r="T102" s="33"/>
      <c r="U102" s="33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7">
        <v>91.0</v>
      </c>
      <c r="C103" s="33"/>
      <c r="D103" s="56" t="str">
        <f>IF(C103="", "", IF(VLOOKUP(C103, Referensi!$C$5:$E$11, 3, TRUE) &gt; 1, VLOOKUP(C103, Referensi!$C$5:$E$11, 3, TRUE) / 100, VLOOKUP(C103, Referensi!$C$5:$E$11, 3, TRUE)))</f>
        <v/>
      </c>
      <c r="E103" s="56" t="str">
        <f>IF(C103="", "", IF(VLOOKUP(C103, Referensi!$C$5:$F$11, 4, TRUE) &gt; 1, VLOOKUP(C103, Referensi!$C$5:$F$11, 4, TRUE) / 100, VLOOKUP(C103, Referensi!$C$5:$F$11, 4, TRUE)))</f>
        <v/>
      </c>
      <c r="F103" s="33"/>
      <c r="G103" s="8" t="str">
        <f t="shared" si="5"/>
        <v/>
      </c>
      <c r="H103" s="38" t="str">
        <f t="shared" si="6"/>
        <v/>
      </c>
      <c r="I103" s="8" t="str">
        <f t="shared" si="7"/>
        <v/>
      </c>
      <c r="J103" s="57">
        <f t="shared" si="1"/>
        <v>0</v>
      </c>
      <c r="K103" s="58">
        <f t="shared" si="2"/>
        <v>0</v>
      </c>
      <c r="L103" s="33"/>
      <c r="M103" s="58">
        <f t="shared" si="3"/>
        <v>0</v>
      </c>
      <c r="N103" s="58" t="str">
        <f t="shared" si="4"/>
        <v/>
      </c>
      <c r="O103" s="33"/>
      <c r="P103" s="33"/>
      <c r="Q103" s="33"/>
      <c r="R103" s="33"/>
      <c r="S103" s="33"/>
      <c r="T103" s="33"/>
      <c r="U103" s="33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7">
        <v>92.0</v>
      </c>
      <c r="C104" s="33"/>
      <c r="D104" s="56" t="str">
        <f>IF(C104="", "", IF(VLOOKUP(C104, Referensi!$C$5:$E$11, 3, TRUE) &gt; 1, VLOOKUP(C104, Referensi!$C$5:$E$11, 3, TRUE) / 100, VLOOKUP(C104, Referensi!$C$5:$E$11, 3, TRUE)))</f>
        <v/>
      </c>
      <c r="E104" s="56" t="str">
        <f>IF(C104="", "", IF(VLOOKUP(C104, Referensi!$C$5:$F$11, 4, TRUE) &gt; 1, VLOOKUP(C104, Referensi!$C$5:$F$11, 4, TRUE) / 100, VLOOKUP(C104, Referensi!$C$5:$F$11, 4, TRUE)))</f>
        <v/>
      </c>
      <c r="F104" s="33"/>
      <c r="G104" s="8" t="str">
        <f t="shared" si="5"/>
        <v/>
      </c>
      <c r="H104" s="38" t="str">
        <f t="shared" si="6"/>
        <v/>
      </c>
      <c r="I104" s="8" t="str">
        <f t="shared" si="7"/>
        <v/>
      </c>
      <c r="J104" s="57">
        <f t="shared" si="1"/>
        <v>0</v>
      </c>
      <c r="K104" s="58">
        <f t="shared" si="2"/>
        <v>0</v>
      </c>
      <c r="L104" s="33"/>
      <c r="M104" s="58">
        <f t="shared" si="3"/>
        <v>0</v>
      </c>
      <c r="N104" s="58" t="str">
        <f t="shared" si="4"/>
        <v/>
      </c>
      <c r="O104" s="33"/>
      <c r="P104" s="33"/>
      <c r="Q104" s="33"/>
      <c r="R104" s="33"/>
      <c r="S104" s="33"/>
      <c r="T104" s="33"/>
      <c r="U104" s="33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7">
        <v>93.0</v>
      </c>
      <c r="C105" s="33"/>
      <c r="D105" s="56" t="str">
        <f>IF(C105="", "", IF(VLOOKUP(C105, Referensi!$C$5:$E$11, 3, TRUE) &gt; 1, VLOOKUP(C105, Referensi!$C$5:$E$11, 3, TRUE) / 100, VLOOKUP(C105, Referensi!$C$5:$E$11, 3, TRUE)))</f>
        <v/>
      </c>
      <c r="E105" s="56" t="str">
        <f>IF(C105="", "", IF(VLOOKUP(C105, Referensi!$C$5:$F$11, 4, TRUE) &gt; 1, VLOOKUP(C105, Referensi!$C$5:$F$11, 4, TRUE) / 100, VLOOKUP(C105, Referensi!$C$5:$F$11, 4, TRUE)))</f>
        <v/>
      </c>
      <c r="F105" s="33"/>
      <c r="G105" s="8" t="str">
        <f t="shared" si="5"/>
        <v/>
      </c>
      <c r="H105" s="38" t="str">
        <f t="shared" si="6"/>
        <v/>
      </c>
      <c r="I105" s="8" t="str">
        <f t="shared" si="7"/>
        <v/>
      </c>
      <c r="J105" s="57">
        <f t="shared" si="1"/>
        <v>0</v>
      </c>
      <c r="K105" s="58">
        <f t="shared" si="2"/>
        <v>0</v>
      </c>
      <c r="L105" s="33"/>
      <c r="M105" s="58">
        <f t="shared" si="3"/>
        <v>0</v>
      </c>
      <c r="N105" s="58" t="str">
        <f t="shared" si="4"/>
        <v/>
      </c>
      <c r="O105" s="33"/>
      <c r="P105" s="33"/>
      <c r="Q105" s="33"/>
      <c r="R105" s="33"/>
      <c r="S105" s="33"/>
      <c r="T105" s="33"/>
      <c r="U105" s="33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7">
        <v>94.0</v>
      </c>
      <c r="C106" s="33"/>
      <c r="D106" s="56" t="str">
        <f>IF(C106="", "", IF(VLOOKUP(C106, Referensi!$C$5:$E$11, 3, TRUE) &gt; 1, VLOOKUP(C106, Referensi!$C$5:$E$11, 3, TRUE) / 100, VLOOKUP(C106, Referensi!$C$5:$E$11, 3, TRUE)))</f>
        <v/>
      </c>
      <c r="E106" s="56" t="str">
        <f>IF(C106="", "", IF(VLOOKUP(C106, Referensi!$C$5:$F$11, 4, TRUE) &gt; 1, VLOOKUP(C106, Referensi!$C$5:$F$11, 4, TRUE) / 100, VLOOKUP(C106, Referensi!$C$5:$F$11, 4, TRUE)))</f>
        <v/>
      </c>
      <c r="F106" s="33"/>
      <c r="G106" s="8" t="str">
        <f t="shared" si="5"/>
        <v/>
      </c>
      <c r="H106" s="38" t="str">
        <f t="shared" si="6"/>
        <v/>
      </c>
      <c r="I106" s="8" t="str">
        <f t="shared" si="7"/>
        <v/>
      </c>
      <c r="J106" s="57">
        <f t="shared" si="1"/>
        <v>0</v>
      </c>
      <c r="K106" s="58">
        <f t="shared" si="2"/>
        <v>0</v>
      </c>
      <c r="L106" s="33"/>
      <c r="M106" s="58">
        <f t="shared" si="3"/>
        <v>0</v>
      </c>
      <c r="N106" s="58" t="str">
        <f t="shared" si="4"/>
        <v/>
      </c>
      <c r="O106" s="33"/>
      <c r="P106" s="33"/>
      <c r="Q106" s="33"/>
      <c r="R106" s="33"/>
      <c r="S106" s="33"/>
      <c r="T106" s="33"/>
      <c r="U106" s="33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7">
        <v>95.0</v>
      </c>
      <c r="C107" s="33"/>
      <c r="D107" s="56" t="str">
        <f>IF(C107="", "", IF(VLOOKUP(C107, Referensi!$C$5:$E$11, 3, TRUE) &gt; 1, VLOOKUP(C107, Referensi!$C$5:$E$11, 3, TRUE) / 100, VLOOKUP(C107, Referensi!$C$5:$E$11, 3, TRUE)))</f>
        <v/>
      </c>
      <c r="E107" s="56" t="str">
        <f>IF(C107="", "", IF(VLOOKUP(C107, Referensi!$C$5:$F$11, 4, TRUE) &gt; 1, VLOOKUP(C107, Referensi!$C$5:$F$11, 4, TRUE) / 100, VLOOKUP(C107, Referensi!$C$5:$F$11, 4, TRUE)))</f>
        <v/>
      </c>
      <c r="F107" s="33"/>
      <c r="G107" s="8" t="str">
        <f t="shared" si="5"/>
        <v/>
      </c>
      <c r="H107" s="38" t="str">
        <f t="shared" si="6"/>
        <v/>
      </c>
      <c r="I107" s="8" t="str">
        <f t="shared" si="7"/>
        <v/>
      </c>
      <c r="J107" s="57">
        <f t="shared" si="1"/>
        <v>0</v>
      </c>
      <c r="K107" s="58">
        <f t="shared" si="2"/>
        <v>0</v>
      </c>
      <c r="L107" s="33"/>
      <c r="M107" s="58">
        <f t="shared" si="3"/>
        <v>0</v>
      </c>
      <c r="N107" s="58" t="str">
        <f t="shared" si="4"/>
        <v/>
      </c>
      <c r="O107" s="33"/>
      <c r="P107" s="33"/>
      <c r="Q107" s="33"/>
      <c r="R107" s="33"/>
      <c r="S107" s="33"/>
      <c r="T107" s="33"/>
      <c r="U107" s="33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7">
        <v>96.0</v>
      </c>
      <c r="C108" s="33"/>
      <c r="D108" s="56" t="str">
        <f>IF(C108="", "", IF(VLOOKUP(C108, Referensi!$C$5:$E$11, 3, TRUE) &gt; 1, VLOOKUP(C108, Referensi!$C$5:$E$11, 3, TRUE) / 100, VLOOKUP(C108, Referensi!$C$5:$E$11, 3, TRUE)))</f>
        <v/>
      </c>
      <c r="E108" s="56" t="str">
        <f>IF(C108="", "", IF(VLOOKUP(C108, Referensi!$C$5:$F$11, 4, TRUE) &gt; 1, VLOOKUP(C108, Referensi!$C$5:$F$11, 4, TRUE) / 100, VLOOKUP(C108, Referensi!$C$5:$F$11, 4, TRUE)))</f>
        <v/>
      </c>
      <c r="F108" s="33"/>
      <c r="G108" s="8" t="str">
        <f t="shared" si="5"/>
        <v/>
      </c>
      <c r="H108" s="38" t="str">
        <f t="shared" si="6"/>
        <v/>
      </c>
      <c r="I108" s="8" t="str">
        <f t="shared" si="7"/>
        <v/>
      </c>
      <c r="J108" s="57">
        <f t="shared" si="1"/>
        <v>0</v>
      </c>
      <c r="K108" s="58">
        <f t="shared" si="2"/>
        <v>0</v>
      </c>
      <c r="L108" s="33"/>
      <c r="M108" s="58">
        <f t="shared" si="3"/>
        <v>0</v>
      </c>
      <c r="N108" s="58" t="str">
        <f t="shared" si="4"/>
        <v/>
      </c>
      <c r="O108" s="33"/>
      <c r="P108" s="33"/>
      <c r="Q108" s="33"/>
      <c r="R108" s="33"/>
      <c r="S108" s="33"/>
      <c r="T108" s="33"/>
      <c r="U108" s="33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7">
        <v>97.0</v>
      </c>
      <c r="C109" s="33"/>
      <c r="D109" s="56" t="str">
        <f>IF(C109="", "", IF(VLOOKUP(C109, Referensi!$C$5:$E$11, 3, TRUE) &gt; 1, VLOOKUP(C109, Referensi!$C$5:$E$11, 3, TRUE) / 100, VLOOKUP(C109, Referensi!$C$5:$E$11, 3, TRUE)))</f>
        <v/>
      </c>
      <c r="E109" s="56" t="str">
        <f>IF(C109="", "", IF(VLOOKUP(C109, Referensi!$C$5:$F$11, 4, TRUE) &gt; 1, VLOOKUP(C109, Referensi!$C$5:$F$11, 4, TRUE) / 100, VLOOKUP(C109, Referensi!$C$5:$F$11, 4, TRUE)))</f>
        <v/>
      </c>
      <c r="F109" s="33"/>
      <c r="G109" s="8" t="str">
        <f t="shared" si="5"/>
        <v/>
      </c>
      <c r="H109" s="38" t="str">
        <f t="shared" si="6"/>
        <v/>
      </c>
      <c r="I109" s="8" t="str">
        <f t="shared" si="7"/>
        <v/>
      </c>
      <c r="J109" s="57">
        <f t="shared" si="1"/>
        <v>0</v>
      </c>
      <c r="K109" s="58">
        <f t="shared" si="2"/>
        <v>0</v>
      </c>
      <c r="L109" s="33"/>
      <c r="M109" s="58">
        <f t="shared" si="3"/>
        <v>0</v>
      </c>
      <c r="N109" s="58" t="str">
        <f t="shared" si="4"/>
        <v/>
      </c>
      <c r="O109" s="33"/>
      <c r="P109" s="33"/>
      <c r="Q109" s="33"/>
      <c r="R109" s="33"/>
      <c r="S109" s="33"/>
      <c r="T109" s="33"/>
      <c r="U109" s="33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7">
        <v>98.0</v>
      </c>
      <c r="C110" s="33"/>
      <c r="D110" s="56" t="str">
        <f>IF(C110="", "", IF(VLOOKUP(C110, Referensi!$C$5:$E$11, 3, TRUE) &gt; 1, VLOOKUP(C110, Referensi!$C$5:$E$11, 3, TRUE) / 100, VLOOKUP(C110, Referensi!$C$5:$E$11, 3, TRUE)))</f>
        <v/>
      </c>
      <c r="E110" s="56" t="str">
        <f>IF(C110="", "", IF(VLOOKUP(C110, Referensi!$C$5:$F$11, 4, TRUE) &gt; 1, VLOOKUP(C110, Referensi!$C$5:$F$11, 4, TRUE) / 100, VLOOKUP(C110, Referensi!$C$5:$F$11, 4, TRUE)))</f>
        <v/>
      </c>
      <c r="F110" s="33"/>
      <c r="G110" s="8" t="str">
        <f t="shared" si="5"/>
        <v/>
      </c>
      <c r="H110" s="38" t="str">
        <f t="shared" si="6"/>
        <v/>
      </c>
      <c r="I110" s="8" t="str">
        <f t="shared" si="7"/>
        <v/>
      </c>
      <c r="J110" s="57">
        <f t="shared" si="1"/>
        <v>0</v>
      </c>
      <c r="K110" s="58">
        <f t="shared" si="2"/>
        <v>0</v>
      </c>
      <c r="L110" s="33"/>
      <c r="M110" s="58">
        <f t="shared" si="3"/>
        <v>0</v>
      </c>
      <c r="N110" s="58" t="str">
        <f t="shared" si="4"/>
        <v/>
      </c>
      <c r="O110" s="33"/>
      <c r="P110" s="33"/>
      <c r="Q110" s="33"/>
      <c r="R110" s="33"/>
      <c r="S110" s="33"/>
      <c r="T110" s="33"/>
      <c r="U110" s="33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7">
        <v>99.0</v>
      </c>
      <c r="C111" s="33"/>
      <c r="D111" s="56" t="str">
        <f>IF(C111="", "", IF(VLOOKUP(C111, Referensi!$C$5:$E$11, 3, TRUE) &gt; 1, VLOOKUP(C111, Referensi!$C$5:$E$11, 3, TRUE) / 100, VLOOKUP(C111, Referensi!$C$5:$E$11, 3, TRUE)))</f>
        <v/>
      </c>
      <c r="E111" s="56" t="str">
        <f>IF(C111="", "", IF(VLOOKUP(C111, Referensi!$C$5:$F$11, 4, TRUE) &gt; 1, VLOOKUP(C111, Referensi!$C$5:$F$11, 4, TRUE) / 100, VLOOKUP(C111, Referensi!$C$5:$F$11, 4, TRUE)))</f>
        <v/>
      </c>
      <c r="F111" s="33"/>
      <c r="G111" s="8" t="str">
        <f t="shared" si="5"/>
        <v/>
      </c>
      <c r="H111" s="38" t="str">
        <f t="shared" si="6"/>
        <v/>
      </c>
      <c r="I111" s="8" t="str">
        <f t="shared" si="7"/>
        <v/>
      </c>
      <c r="J111" s="57">
        <f t="shared" si="1"/>
        <v>0</v>
      </c>
      <c r="K111" s="58">
        <f t="shared" si="2"/>
        <v>0</v>
      </c>
      <c r="L111" s="33"/>
      <c r="M111" s="58">
        <f t="shared" si="3"/>
        <v>0</v>
      </c>
      <c r="N111" s="58" t="str">
        <f t="shared" si="4"/>
        <v/>
      </c>
      <c r="O111" s="33"/>
      <c r="P111" s="33"/>
      <c r="Q111" s="33"/>
      <c r="R111" s="33"/>
      <c r="S111" s="33"/>
      <c r="T111" s="33"/>
      <c r="U111" s="33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7">
        <v>100.0</v>
      </c>
      <c r="C112" s="33"/>
      <c r="D112" s="56" t="str">
        <f>IF(C112="", "", IF(VLOOKUP(C112, Referensi!$C$5:$E$11, 3, TRUE) &gt; 1, VLOOKUP(C112, Referensi!$C$5:$E$11, 3, TRUE) / 100, VLOOKUP(C112, Referensi!$C$5:$E$11, 3, TRUE)))</f>
        <v/>
      </c>
      <c r="E112" s="56" t="str">
        <f>IF(C112="", "", IF(VLOOKUP(C112, Referensi!$C$5:$F$11, 4, TRUE) &gt; 1, VLOOKUP(C112, Referensi!$C$5:$F$11, 4, TRUE) / 100, VLOOKUP(C112, Referensi!$C$5:$F$11, 4, TRUE)))</f>
        <v/>
      </c>
      <c r="F112" s="33"/>
      <c r="G112" s="8" t="str">
        <f t="shared" si="5"/>
        <v/>
      </c>
      <c r="H112" s="38" t="str">
        <f t="shared" si="6"/>
        <v/>
      </c>
      <c r="I112" s="8" t="str">
        <f t="shared" si="7"/>
        <v/>
      </c>
      <c r="J112" s="57">
        <f t="shared" si="1"/>
        <v>0</v>
      </c>
      <c r="K112" s="58">
        <f t="shared" si="2"/>
        <v>0</v>
      </c>
      <c r="L112" s="33"/>
      <c r="M112" s="58">
        <f t="shared" si="3"/>
        <v>0</v>
      </c>
      <c r="N112" s="58" t="str">
        <f t="shared" si="4"/>
        <v/>
      </c>
      <c r="O112" s="33"/>
      <c r="P112" s="33"/>
      <c r="Q112" s="33"/>
      <c r="R112" s="33"/>
      <c r="S112" s="33"/>
      <c r="T112" s="33"/>
      <c r="U112" s="33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7">
        <v>101.0</v>
      </c>
      <c r="C113" s="33"/>
      <c r="D113" s="56" t="str">
        <f>IF(C113="", "", IF(VLOOKUP(C113, Referensi!$C$5:$E$11, 3, TRUE) &gt; 1, VLOOKUP(C113, Referensi!$C$5:$E$11, 3, TRUE) / 100, VLOOKUP(C113, Referensi!$C$5:$E$11, 3, TRUE)))</f>
        <v/>
      </c>
      <c r="E113" s="56" t="str">
        <f>IF(C113="", "", IF(VLOOKUP(C113, Referensi!$C$5:$F$11, 4, TRUE) &gt; 1, VLOOKUP(C113, Referensi!$C$5:$F$11, 4, TRUE) / 100, VLOOKUP(C113, Referensi!$C$5:$F$11, 4, TRUE)))</f>
        <v/>
      </c>
      <c r="F113" s="33"/>
      <c r="G113" s="8" t="str">
        <f t="shared" si="5"/>
        <v/>
      </c>
      <c r="H113" s="38" t="str">
        <f t="shared" si="6"/>
        <v/>
      </c>
      <c r="I113" s="8" t="str">
        <f t="shared" si="7"/>
        <v/>
      </c>
      <c r="J113" s="57">
        <f t="shared" si="1"/>
        <v>0</v>
      </c>
      <c r="K113" s="58">
        <f t="shared" si="2"/>
        <v>0</v>
      </c>
      <c r="L113" s="33"/>
      <c r="M113" s="58">
        <f t="shared" si="3"/>
        <v>0</v>
      </c>
      <c r="N113" s="58" t="str">
        <f t="shared" si="4"/>
        <v/>
      </c>
      <c r="O113" s="33"/>
      <c r="P113" s="33"/>
      <c r="Q113" s="33"/>
      <c r="R113" s="33"/>
      <c r="S113" s="33"/>
      <c r="T113" s="33"/>
      <c r="U113" s="33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7">
        <v>102.0</v>
      </c>
      <c r="C114" s="33"/>
      <c r="D114" s="56" t="str">
        <f>IF(C114="", "", IF(VLOOKUP(C114, Referensi!$C$5:$E$11, 3, TRUE) &gt; 1, VLOOKUP(C114, Referensi!$C$5:$E$11, 3, TRUE) / 100, VLOOKUP(C114, Referensi!$C$5:$E$11, 3, TRUE)))</f>
        <v/>
      </c>
      <c r="E114" s="56" t="str">
        <f>IF(C114="", "", IF(VLOOKUP(C114, Referensi!$C$5:$F$11, 4, TRUE) &gt; 1, VLOOKUP(C114, Referensi!$C$5:$F$11, 4, TRUE) / 100, VLOOKUP(C114, Referensi!$C$5:$F$11, 4, TRUE)))</f>
        <v/>
      </c>
      <c r="F114" s="33"/>
      <c r="G114" s="8" t="str">
        <f t="shared" si="5"/>
        <v/>
      </c>
      <c r="H114" s="38" t="str">
        <f t="shared" si="6"/>
        <v/>
      </c>
      <c r="I114" s="8" t="str">
        <f t="shared" si="7"/>
        <v/>
      </c>
      <c r="J114" s="57">
        <f t="shared" si="1"/>
        <v>0</v>
      </c>
      <c r="K114" s="58">
        <f t="shared" si="2"/>
        <v>0</v>
      </c>
      <c r="L114" s="33"/>
      <c r="M114" s="58">
        <f t="shared" si="3"/>
        <v>0</v>
      </c>
      <c r="N114" s="58" t="str">
        <f t="shared" si="4"/>
        <v/>
      </c>
      <c r="O114" s="33"/>
      <c r="P114" s="33"/>
      <c r="Q114" s="33"/>
      <c r="R114" s="33"/>
      <c r="S114" s="33"/>
      <c r="T114" s="33"/>
      <c r="U114" s="33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7">
        <v>103.0</v>
      </c>
      <c r="C115" s="33"/>
      <c r="D115" s="56" t="str">
        <f>IF(C115="", "", IF(VLOOKUP(C115, Referensi!$C$5:$E$11, 3, TRUE) &gt; 1, VLOOKUP(C115, Referensi!$C$5:$E$11, 3, TRUE) / 100, VLOOKUP(C115, Referensi!$C$5:$E$11, 3, TRUE)))</f>
        <v/>
      </c>
      <c r="E115" s="56" t="str">
        <f>IF(C115="", "", IF(VLOOKUP(C115, Referensi!$C$5:$F$11, 4, TRUE) &gt; 1, VLOOKUP(C115, Referensi!$C$5:$F$11, 4, TRUE) / 100, VLOOKUP(C115, Referensi!$C$5:$F$11, 4, TRUE)))</f>
        <v/>
      </c>
      <c r="F115" s="33"/>
      <c r="G115" s="8" t="str">
        <f t="shared" si="5"/>
        <v/>
      </c>
      <c r="H115" s="38" t="str">
        <f t="shared" si="6"/>
        <v/>
      </c>
      <c r="I115" s="8" t="str">
        <f t="shared" si="7"/>
        <v/>
      </c>
      <c r="J115" s="57">
        <f t="shared" si="1"/>
        <v>0</v>
      </c>
      <c r="K115" s="58">
        <f t="shared" si="2"/>
        <v>0</v>
      </c>
      <c r="L115" s="33"/>
      <c r="M115" s="58">
        <f t="shared" si="3"/>
        <v>0</v>
      </c>
      <c r="N115" s="58" t="str">
        <f t="shared" si="4"/>
        <v/>
      </c>
      <c r="O115" s="33"/>
      <c r="P115" s="33"/>
      <c r="Q115" s="33"/>
      <c r="R115" s="33"/>
      <c r="S115" s="33"/>
      <c r="T115" s="33"/>
      <c r="U115" s="33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7">
        <v>104.0</v>
      </c>
      <c r="C116" s="33"/>
      <c r="D116" s="56" t="str">
        <f>IF(C116="", "", IF(VLOOKUP(C116, Referensi!$C$5:$E$11, 3, TRUE) &gt; 1, VLOOKUP(C116, Referensi!$C$5:$E$11, 3, TRUE) / 100, VLOOKUP(C116, Referensi!$C$5:$E$11, 3, TRUE)))</f>
        <v/>
      </c>
      <c r="E116" s="56" t="str">
        <f>IF(C116="", "", IF(VLOOKUP(C116, Referensi!$C$5:$F$11, 4, TRUE) &gt; 1, VLOOKUP(C116, Referensi!$C$5:$F$11, 4, TRUE) / 100, VLOOKUP(C116, Referensi!$C$5:$F$11, 4, TRUE)))</f>
        <v/>
      </c>
      <c r="F116" s="33"/>
      <c r="G116" s="8" t="str">
        <f t="shared" si="5"/>
        <v/>
      </c>
      <c r="H116" s="38" t="str">
        <f t="shared" si="6"/>
        <v/>
      </c>
      <c r="I116" s="8" t="str">
        <f t="shared" si="7"/>
        <v/>
      </c>
      <c r="J116" s="57">
        <f t="shared" si="1"/>
        <v>0</v>
      </c>
      <c r="K116" s="58">
        <f t="shared" si="2"/>
        <v>0</v>
      </c>
      <c r="L116" s="33"/>
      <c r="M116" s="58">
        <f t="shared" si="3"/>
        <v>0</v>
      </c>
      <c r="N116" s="58" t="str">
        <f t="shared" si="4"/>
        <v/>
      </c>
      <c r="O116" s="33"/>
      <c r="P116" s="33"/>
      <c r="Q116" s="33"/>
      <c r="R116" s="33"/>
      <c r="S116" s="33"/>
      <c r="T116" s="33"/>
      <c r="U116" s="33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7">
        <v>105.0</v>
      </c>
      <c r="C117" s="33"/>
      <c r="D117" s="56" t="str">
        <f>IF(C117="", "", IF(VLOOKUP(C117, Referensi!$C$5:$E$11, 3, TRUE) &gt; 1, VLOOKUP(C117, Referensi!$C$5:$E$11, 3, TRUE) / 100, VLOOKUP(C117, Referensi!$C$5:$E$11, 3, TRUE)))</f>
        <v/>
      </c>
      <c r="E117" s="56" t="str">
        <f>IF(C117="", "", IF(VLOOKUP(C117, Referensi!$C$5:$F$11, 4, TRUE) &gt; 1, VLOOKUP(C117, Referensi!$C$5:$F$11, 4, TRUE) / 100, VLOOKUP(C117, Referensi!$C$5:$F$11, 4, TRUE)))</f>
        <v/>
      </c>
      <c r="F117" s="33"/>
      <c r="G117" s="8" t="str">
        <f t="shared" si="5"/>
        <v/>
      </c>
      <c r="H117" s="38" t="str">
        <f t="shared" si="6"/>
        <v/>
      </c>
      <c r="I117" s="8" t="str">
        <f t="shared" si="7"/>
        <v/>
      </c>
      <c r="J117" s="57">
        <f t="shared" si="1"/>
        <v>0</v>
      </c>
      <c r="K117" s="58">
        <f t="shared" si="2"/>
        <v>0</v>
      </c>
      <c r="L117" s="33"/>
      <c r="M117" s="58">
        <f t="shared" si="3"/>
        <v>0</v>
      </c>
      <c r="N117" s="58" t="str">
        <f t="shared" si="4"/>
        <v/>
      </c>
      <c r="O117" s="33"/>
      <c r="P117" s="33"/>
      <c r="Q117" s="33"/>
      <c r="R117" s="33"/>
      <c r="S117" s="33"/>
      <c r="T117" s="33"/>
      <c r="U117" s="33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7">
        <v>106.0</v>
      </c>
      <c r="C118" s="33"/>
      <c r="D118" s="56" t="str">
        <f>IF(C118="", "", IF(VLOOKUP(C118, Referensi!$C$5:$E$11, 3, TRUE) &gt; 1, VLOOKUP(C118, Referensi!$C$5:$E$11, 3, TRUE) / 100, VLOOKUP(C118, Referensi!$C$5:$E$11, 3, TRUE)))</f>
        <v/>
      </c>
      <c r="E118" s="56" t="str">
        <f>IF(C118="", "", IF(VLOOKUP(C118, Referensi!$C$5:$F$11, 4, TRUE) &gt; 1, VLOOKUP(C118, Referensi!$C$5:$F$11, 4, TRUE) / 100, VLOOKUP(C118, Referensi!$C$5:$F$11, 4, TRUE)))</f>
        <v/>
      </c>
      <c r="F118" s="33"/>
      <c r="G118" s="8" t="str">
        <f t="shared" si="5"/>
        <v/>
      </c>
      <c r="H118" s="38" t="str">
        <f t="shared" si="6"/>
        <v/>
      </c>
      <c r="I118" s="8" t="str">
        <f t="shared" si="7"/>
        <v/>
      </c>
      <c r="J118" s="57">
        <f t="shared" si="1"/>
        <v>0</v>
      </c>
      <c r="K118" s="58">
        <f t="shared" si="2"/>
        <v>0</v>
      </c>
      <c r="L118" s="33"/>
      <c r="M118" s="58">
        <f t="shared" si="3"/>
        <v>0</v>
      </c>
      <c r="N118" s="58" t="str">
        <f t="shared" si="4"/>
        <v/>
      </c>
      <c r="O118" s="33"/>
      <c r="P118" s="33"/>
      <c r="Q118" s="33"/>
      <c r="R118" s="33"/>
      <c r="S118" s="33"/>
      <c r="T118" s="33"/>
      <c r="U118" s="33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7">
        <v>107.0</v>
      </c>
      <c r="C119" s="33"/>
      <c r="D119" s="56" t="str">
        <f>IF(C119="", "", IF(VLOOKUP(C119, Referensi!$C$5:$E$11, 3, TRUE) &gt; 1, VLOOKUP(C119, Referensi!$C$5:$E$11, 3, TRUE) / 100, VLOOKUP(C119, Referensi!$C$5:$E$11, 3, TRUE)))</f>
        <v/>
      </c>
      <c r="E119" s="56" t="str">
        <f>IF(C119="", "", IF(VLOOKUP(C119, Referensi!$C$5:$F$11, 4, TRUE) &gt; 1, VLOOKUP(C119, Referensi!$C$5:$F$11, 4, TRUE) / 100, VLOOKUP(C119, Referensi!$C$5:$F$11, 4, TRUE)))</f>
        <v/>
      </c>
      <c r="F119" s="33"/>
      <c r="G119" s="8" t="str">
        <f t="shared" si="5"/>
        <v/>
      </c>
      <c r="H119" s="38" t="str">
        <f t="shared" si="6"/>
        <v/>
      </c>
      <c r="I119" s="8" t="str">
        <f t="shared" si="7"/>
        <v/>
      </c>
      <c r="J119" s="57">
        <f t="shared" si="1"/>
        <v>0</v>
      </c>
      <c r="K119" s="58">
        <f t="shared" si="2"/>
        <v>0</v>
      </c>
      <c r="L119" s="33"/>
      <c r="M119" s="58">
        <f t="shared" si="3"/>
        <v>0</v>
      </c>
      <c r="N119" s="58" t="str">
        <f t="shared" si="4"/>
        <v/>
      </c>
      <c r="O119" s="33"/>
      <c r="P119" s="33"/>
      <c r="Q119" s="33"/>
      <c r="R119" s="33"/>
      <c r="S119" s="33"/>
      <c r="T119" s="33"/>
      <c r="U119" s="33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7">
        <v>108.0</v>
      </c>
      <c r="C120" s="33"/>
      <c r="D120" s="56" t="str">
        <f>IF(C120="", "", IF(VLOOKUP(C120, Referensi!$C$5:$E$11, 3, TRUE) &gt; 1, VLOOKUP(C120, Referensi!$C$5:$E$11, 3, TRUE) / 100, VLOOKUP(C120, Referensi!$C$5:$E$11, 3, TRUE)))</f>
        <v/>
      </c>
      <c r="E120" s="56" t="str">
        <f>IF(C120="", "", IF(VLOOKUP(C120, Referensi!$C$5:$F$11, 4, TRUE) &gt; 1, VLOOKUP(C120, Referensi!$C$5:$F$11, 4, TRUE) / 100, VLOOKUP(C120, Referensi!$C$5:$F$11, 4, TRUE)))</f>
        <v/>
      </c>
      <c r="F120" s="33"/>
      <c r="G120" s="8" t="str">
        <f t="shared" si="5"/>
        <v/>
      </c>
      <c r="H120" s="38" t="str">
        <f t="shared" si="6"/>
        <v/>
      </c>
      <c r="I120" s="8" t="str">
        <f t="shared" si="7"/>
        <v/>
      </c>
      <c r="J120" s="57">
        <f t="shared" si="1"/>
        <v>0</v>
      </c>
      <c r="K120" s="58">
        <f t="shared" si="2"/>
        <v>0</v>
      </c>
      <c r="L120" s="33"/>
      <c r="M120" s="58">
        <f t="shared" si="3"/>
        <v>0</v>
      </c>
      <c r="N120" s="58" t="str">
        <f t="shared" si="4"/>
        <v/>
      </c>
      <c r="O120" s="33"/>
      <c r="P120" s="33"/>
      <c r="Q120" s="33"/>
      <c r="R120" s="33"/>
      <c r="S120" s="33"/>
      <c r="T120" s="33"/>
      <c r="U120" s="33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7">
        <v>109.0</v>
      </c>
      <c r="C121" s="33"/>
      <c r="D121" s="56" t="str">
        <f>IF(C121="", "", IF(VLOOKUP(C121, Referensi!$C$5:$E$11, 3, TRUE) &gt; 1, VLOOKUP(C121, Referensi!$C$5:$E$11, 3, TRUE) / 100, VLOOKUP(C121, Referensi!$C$5:$E$11, 3, TRUE)))</f>
        <v/>
      </c>
      <c r="E121" s="56" t="str">
        <f>IF(C121="", "", IF(VLOOKUP(C121, Referensi!$C$5:$F$11, 4, TRUE) &gt; 1, VLOOKUP(C121, Referensi!$C$5:$F$11, 4, TRUE) / 100, VLOOKUP(C121, Referensi!$C$5:$F$11, 4, TRUE)))</f>
        <v/>
      </c>
      <c r="F121" s="33"/>
      <c r="G121" s="8" t="str">
        <f t="shared" si="5"/>
        <v/>
      </c>
      <c r="H121" s="38" t="str">
        <f t="shared" si="6"/>
        <v/>
      </c>
      <c r="I121" s="8" t="str">
        <f t="shared" si="7"/>
        <v/>
      </c>
      <c r="J121" s="57">
        <f t="shared" si="1"/>
        <v>0</v>
      </c>
      <c r="K121" s="58">
        <f t="shared" si="2"/>
        <v>0</v>
      </c>
      <c r="L121" s="33"/>
      <c r="M121" s="58">
        <f t="shared" si="3"/>
        <v>0</v>
      </c>
      <c r="N121" s="58" t="str">
        <f t="shared" si="4"/>
        <v/>
      </c>
      <c r="O121" s="33"/>
      <c r="P121" s="33"/>
      <c r="Q121" s="33"/>
      <c r="R121" s="33"/>
      <c r="S121" s="33"/>
      <c r="T121" s="33"/>
      <c r="U121" s="33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7">
        <v>110.0</v>
      </c>
      <c r="C122" s="33"/>
      <c r="D122" s="56" t="str">
        <f>IF(C122="", "", IF(VLOOKUP(C122, Referensi!$C$5:$E$11, 3, TRUE) &gt; 1, VLOOKUP(C122, Referensi!$C$5:$E$11, 3, TRUE) / 100, VLOOKUP(C122, Referensi!$C$5:$E$11, 3, TRUE)))</f>
        <v/>
      </c>
      <c r="E122" s="56" t="str">
        <f>IF(C122="", "", IF(VLOOKUP(C122, Referensi!$C$5:$F$11, 4, TRUE) &gt; 1, VLOOKUP(C122, Referensi!$C$5:$F$11, 4, TRUE) / 100, VLOOKUP(C122, Referensi!$C$5:$F$11, 4, TRUE)))</f>
        <v/>
      </c>
      <c r="F122" s="33"/>
      <c r="G122" s="8" t="str">
        <f t="shared" si="5"/>
        <v/>
      </c>
      <c r="H122" s="38" t="str">
        <f t="shared" si="6"/>
        <v/>
      </c>
      <c r="I122" s="8" t="str">
        <f t="shared" si="7"/>
        <v/>
      </c>
      <c r="J122" s="57">
        <f t="shared" si="1"/>
        <v>0</v>
      </c>
      <c r="K122" s="58">
        <f t="shared" si="2"/>
        <v>0</v>
      </c>
      <c r="L122" s="33"/>
      <c r="M122" s="58">
        <f t="shared" si="3"/>
        <v>0</v>
      </c>
      <c r="N122" s="58" t="str">
        <f t="shared" si="4"/>
        <v/>
      </c>
      <c r="O122" s="33"/>
      <c r="P122" s="33"/>
      <c r="Q122" s="33"/>
      <c r="R122" s="33"/>
      <c r="S122" s="33"/>
      <c r="T122" s="33"/>
      <c r="U122" s="33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7">
        <v>111.0</v>
      </c>
      <c r="C123" s="33"/>
      <c r="D123" s="56" t="str">
        <f>IF(C123="", "", IF(VLOOKUP(C123, Referensi!$C$5:$E$11, 3, TRUE) &gt; 1, VLOOKUP(C123, Referensi!$C$5:$E$11, 3, TRUE) / 100, VLOOKUP(C123, Referensi!$C$5:$E$11, 3, TRUE)))</f>
        <v/>
      </c>
      <c r="E123" s="56" t="str">
        <f>IF(C123="", "", IF(VLOOKUP(C123, Referensi!$C$5:$F$11, 4, TRUE) &gt; 1, VLOOKUP(C123, Referensi!$C$5:$F$11, 4, TRUE) / 100, VLOOKUP(C123, Referensi!$C$5:$F$11, 4, TRUE)))</f>
        <v/>
      </c>
      <c r="F123" s="33"/>
      <c r="G123" s="8" t="str">
        <f t="shared" si="5"/>
        <v/>
      </c>
      <c r="H123" s="38" t="str">
        <f t="shared" si="6"/>
        <v/>
      </c>
      <c r="I123" s="8" t="str">
        <f t="shared" si="7"/>
        <v/>
      </c>
      <c r="J123" s="57">
        <f t="shared" si="1"/>
        <v>0</v>
      </c>
      <c r="K123" s="58">
        <f t="shared" si="2"/>
        <v>0</v>
      </c>
      <c r="L123" s="33"/>
      <c r="M123" s="58">
        <f t="shared" si="3"/>
        <v>0</v>
      </c>
      <c r="N123" s="58" t="str">
        <f t="shared" si="4"/>
        <v/>
      </c>
      <c r="O123" s="33"/>
      <c r="P123" s="33"/>
      <c r="Q123" s="33"/>
      <c r="R123" s="33"/>
      <c r="S123" s="33"/>
      <c r="T123" s="33"/>
      <c r="U123" s="33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7">
        <v>112.0</v>
      </c>
      <c r="C124" s="33"/>
      <c r="D124" s="56" t="str">
        <f>IF(C124="", "", IF(VLOOKUP(C124, Referensi!$C$5:$E$11, 3, TRUE) &gt; 1, VLOOKUP(C124, Referensi!$C$5:$E$11, 3, TRUE) / 100, VLOOKUP(C124, Referensi!$C$5:$E$11, 3, TRUE)))</f>
        <v/>
      </c>
      <c r="E124" s="56" t="str">
        <f>IF(C124="", "", IF(VLOOKUP(C124, Referensi!$C$5:$F$11, 4, TRUE) &gt; 1, VLOOKUP(C124, Referensi!$C$5:$F$11, 4, TRUE) / 100, VLOOKUP(C124, Referensi!$C$5:$F$11, 4, TRUE)))</f>
        <v/>
      </c>
      <c r="F124" s="33"/>
      <c r="G124" s="8" t="str">
        <f t="shared" si="5"/>
        <v/>
      </c>
      <c r="H124" s="38" t="str">
        <f t="shared" si="6"/>
        <v/>
      </c>
      <c r="I124" s="8" t="str">
        <f t="shared" si="7"/>
        <v/>
      </c>
      <c r="J124" s="57">
        <f t="shared" si="1"/>
        <v>0</v>
      </c>
      <c r="K124" s="58">
        <f t="shared" si="2"/>
        <v>0</v>
      </c>
      <c r="L124" s="33"/>
      <c r="M124" s="58">
        <f t="shared" si="3"/>
        <v>0</v>
      </c>
      <c r="N124" s="58" t="str">
        <f t="shared" si="4"/>
        <v/>
      </c>
      <c r="O124" s="33"/>
      <c r="P124" s="33"/>
      <c r="Q124" s="33"/>
      <c r="R124" s="33"/>
      <c r="S124" s="33"/>
      <c r="T124" s="33"/>
      <c r="U124" s="33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7">
        <v>113.0</v>
      </c>
      <c r="C125" s="33"/>
      <c r="D125" s="56" t="str">
        <f>IF(C125="", "", IF(VLOOKUP(C125, Referensi!$C$5:$E$11, 3, TRUE) &gt; 1, VLOOKUP(C125, Referensi!$C$5:$E$11, 3, TRUE) / 100, VLOOKUP(C125, Referensi!$C$5:$E$11, 3, TRUE)))</f>
        <v/>
      </c>
      <c r="E125" s="56" t="str">
        <f>IF(C125="", "", IF(VLOOKUP(C125, Referensi!$C$5:$F$11, 4, TRUE) &gt; 1, VLOOKUP(C125, Referensi!$C$5:$F$11, 4, TRUE) / 100, VLOOKUP(C125, Referensi!$C$5:$F$11, 4, TRUE)))</f>
        <v/>
      </c>
      <c r="F125" s="33"/>
      <c r="G125" s="8" t="str">
        <f t="shared" si="5"/>
        <v/>
      </c>
      <c r="H125" s="38" t="str">
        <f t="shared" si="6"/>
        <v/>
      </c>
      <c r="I125" s="8" t="str">
        <f t="shared" si="7"/>
        <v/>
      </c>
      <c r="J125" s="57">
        <f t="shared" si="1"/>
        <v>0</v>
      </c>
      <c r="K125" s="58">
        <f t="shared" si="2"/>
        <v>0</v>
      </c>
      <c r="L125" s="33"/>
      <c r="M125" s="58">
        <f t="shared" si="3"/>
        <v>0</v>
      </c>
      <c r="N125" s="58" t="str">
        <f t="shared" si="4"/>
        <v/>
      </c>
      <c r="O125" s="33"/>
      <c r="P125" s="33"/>
      <c r="Q125" s="33"/>
      <c r="R125" s="33"/>
      <c r="S125" s="33"/>
      <c r="T125" s="33"/>
      <c r="U125" s="33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7">
        <v>114.0</v>
      </c>
      <c r="C126" s="33"/>
      <c r="D126" s="56" t="str">
        <f>IF(C126="", "", IF(VLOOKUP(C126, Referensi!$C$5:$E$11, 3, TRUE) &gt; 1, VLOOKUP(C126, Referensi!$C$5:$E$11, 3, TRUE) / 100, VLOOKUP(C126, Referensi!$C$5:$E$11, 3, TRUE)))</f>
        <v/>
      </c>
      <c r="E126" s="56" t="str">
        <f>IF(C126="", "", IF(VLOOKUP(C126, Referensi!$C$5:$F$11, 4, TRUE) &gt; 1, VLOOKUP(C126, Referensi!$C$5:$F$11, 4, TRUE) / 100, VLOOKUP(C126, Referensi!$C$5:$F$11, 4, TRUE)))</f>
        <v/>
      </c>
      <c r="F126" s="33"/>
      <c r="G126" s="8" t="str">
        <f t="shared" si="5"/>
        <v/>
      </c>
      <c r="H126" s="38" t="str">
        <f t="shared" si="6"/>
        <v/>
      </c>
      <c r="I126" s="8" t="str">
        <f t="shared" si="7"/>
        <v/>
      </c>
      <c r="J126" s="57">
        <f t="shared" si="1"/>
        <v>0</v>
      </c>
      <c r="K126" s="58">
        <f t="shared" si="2"/>
        <v>0</v>
      </c>
      <c r="L126" s="33"/>
      <c r="M126" s="58">
        <f t="shared" si="3"/>
        <v>0</v>
      </c>
      <c r="N126" s="58" t="str">
        <f t="shared" si="4"/>
        <v/>
      </c>
      <c r="O126" s="33"/>
      <c r="P126" s="33"/>
      <c r="Q126" s="33"/>
      <c r="R126" s="33"/>
      <c r="S126" s="33"/>
      <c r="T126" s="33"/>
      <c r="U126" s="33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7">
        <v>115.0</v>
      </c>
      <c r="C127" s="33"/>
      <c r="D127" s="56" t="str">
        <f>IF(C127="", "", IF(VLOOKUP(C127, Referensi!$C$5:$E$11, 3, TRUE) &gt; 1, VLOOKUP(C127, Referensi!$C$5:$E$11, 3, TRUE) / 100, VLOOKUP(C127, Referensi!$C$5:$E$11, 3, TRUE)))</f>
        <v/>
      </c>
      <c r="E127" s="56" t="str">
        <f>IF(C127="", "", IF(VLOOKUP(C127, Referensi!$C$5:$F$11, 4, TRUE) &gt; 1, VLOOKUP(C127, Referensi!$C$5:$F$11, 4, TRUE) / 100, VLOOKUP(C127, Referensi!$C$5:$F$11, 4, TRUE)))</f>
        <v/>
      </c>
      <c r="F127" s="33"/>
      <c r="G127" s="8" t="str">
        <f t="shared" si="5"/>
        <v/>
      </c>
      <c r="H127" s="38" t="str">
        <f t="shared" si="6"/>
        <v/>
      </c>
      <c r="I127" s="8" t="str">
        <f t="shared" si="7"/>
        <v/>
      </c>
      <c r="J127" s="57">
        <f t="shared" si="1"/>
        <v>0</v>
      </c>
      <c r="K127" s="58">
        <f t="shared" si="2"/>
        <v>0</v>
      </c>
      <c r="L127" s="33"/>
      <c r="M127" s="58">
        <f t="shared" si="3"/>
        <v>0</v>
      </c>
      <c r="N127" s="58" t="str">
        <f t="shared" si="4"/>
        <v/>
      </c>
      <c r="O127" s="33"/>
      <c r="P127" s="33"/>
      <c r="Q127" s="33"/>
      <c r="R127" s="33"/>
      <c r="S127" s="33"/>
      <c r="T127" s="33"/>
      <c r="U127" s="33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7">
        <v>116.0</v>
      </c>
      <c r="C128" s="33"/>
      <c r="D128" s="56" t="str">
        <f>IF(C128="", "", IF(VLOOKUP(C128, Referensi!$C$5:$E$11, 3, TRUE) &gt; 1, VLOOKUP(C128, Referensi!$C$5:$E$11, 3, TRUE) / 100, VLOOKUP(C128, Referensi!$C$5:$E$11, 3, TRUE)))</f>
        <v/>
      </c>
      <c r="E128" s="56" t="str">
        <f>IF(C128="", "", IF(VLOOKUP(C128, Referensi!$C$5:$F$11, 4, TRUE) &gt; 1, VLOOKUP(C128, Referensi!$C$5:$F$11, 4, TRUE) / 100, VLOOKUP(C128, Referensi!$C$5:$F$11, 4, TRUE)))</f>
        <v/>
      </c>
      <c r="F128" s="33"/>
      <c r="G128" s="8" t="str">
        <f t="shared" si="5"/>
        <v/>
      </c>
      <c r="H128" s="38" t="str">
        <f t="shared" si="6"/>
        <v/>
      </c>
      <c r="I128" s="8" t="str">
        <f t="shared" si="7"/>
        <v/>
      </c>
      <c r="J128" s="57">
        <f t="shared" si="1"/>
        <v>0</v>
      </c>
      <c r="K128" s="58">
        <f t="shared" si="2"/>
        <v>0</v>
      </c>
      <c r="L128" s="33"/>
      <c r="M128" s="58">
        <f t="shared" si="3"/>
        <v>0</v>
      </c>
      <c r="N128" s="58" t="str">
        <f t="shared" si="4"/>
        <v/>
      </c>
      <c r="O128" s="33"/>
      <c r="P128" s="33"/>
      <c r="Q128" s="33"/>
      <c r="R128" s="33"/>
      <c r="S128" s="33"/>
      <c r="T128" s="33"/>
      <c r="U128" s="33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7">
        <v>117.0</v>
      </c>
      <c r="C129" s="33"/>
      <c r="D129" s="56" t="str">
        <f>IF(C129="", "", IF(VLOOKUP(C129, Referensi!$C$5:$E$11, 3, TRUE) &gt; 1, VLOOKUP(C129, Referensi!$C$5:$E$11, 3, TRUE) / 100, VLOOKUP(C129, Referensi!$C$5:$E$11, 3, TRUE)))</f>
        <v/>
      </c>
      <c r="E129" s="56" t="str">
        <f>IF(C129="", "", IF(VLOOKUP(C129, Referensi!$C$5:$F$11, 4, TRUE) &gt; 1, VLOOKUP(C129, Referensi!$C$5:$F$11, 4, TRUE) / 100, VLOOKUP(C129, Referensi!$C$5:$F$11, 4, TRUE)))</f>
        <v/>
      </c>
      <c r="F129" s="33"/>
      <c r="G129" s="8" t="str">
        <f t="shared" si="5"/>
        <v/>
      </c>
      <c r="H129" s="38" t="str">
        <f t="shared" si="6"/>
        <v/>
      </c>
      <c r="I129" s="8" t="str">
        <f t="shared" si="7"/>
        <v/>
      </c>
      <c r="J129" s="57">
        <f t="shared" si="1"/>
        <v>0</v>
      </c>
      <c r="K129" s="58">
        <f t="shared" si="2"/>
        <v>0</v>
      </c>
      <c r="L129" s="33"/>
      <c r="M129" s="58">
        <f t="shared" si="3"/>
        <v>0</v>
      </c>
      <c r="N129" s="58" t="str">
        <f t="shared" si="4"/>
        <v/>
      </c>
      <c r="O129" s="33"/>
      <c r="P129" s="33"/>
      <c r="Q129" s="33"/>
      <c r="R129" s="33"/>
      <c r="S129" s="33"/>
      <c r="T129" s="33"/>
      <c r="U129" s="33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7">
        <v>118.0</v>
      </c>
      <c r="C130" s="33"/>
      <c r="D130" s="56" t="str">
        <f>IF(C130="", "", IF(VLOOKUP(C130, Referensi!$C$5:$E$11, 3, TRUE) &gt; 1, VLOOKUP(C130, Referensi!$C$5:$E$11, 3, TRUE) / 100, VLOOKUP(C130, Referensi!$C$5:$E$11, 3, TRUE)))</f>
        <v/>
      </c>
      <c r="E130" s="56" t="str">
        <f>IF(C130="", "", IF(VLOOKUP(C130, Referensi!$C$5:$F$11, 4, TRUE) &gt; 1, VLOOKUP(C130, Referensi!$C$5:$F$11, 4, TRUE) / 100, VLOOKUP(C130, Referensi!$C$5:$F$11, 4, TRUE)))</f>
        <v/>
      </c>
      <c r="F130" s="33"/>
      <c r="G130" s="8" t="str">
        <f t="shared" si="5"/>
        <v/>
      </c>
      <c r="H130" s="38" t="str">
        <f t="shared" si="6"/>
        <v/>
      </c>
      <c r="I130" s="8" t="str">
        <f t="shared" si="7"/>
        <v/>
      </c>
      <c r="J130" s="57">
        <f t="shared" si="1"/>
        <v>0</v>
      </c>
      <c r="K130" s="58">
        <f t="shared" si="2"/>
        <v>0</v>
      </c>
      <c r="L130" s="33"/>
      <c r="M130" s="58">
        <f t="shared" si="3"/>
        <v>0</v>
      </c>
      <c r="N130" s="58" t="str">
        <f t="shared" si="4"/>
        <v/>
      </c>
      <c r="O130" s="33"/>
      <c r="P130" s="33"/>
      <c r="Q130" s="33"/>
      <c r="R130" s="33"/>
      <c r="S130" s="33"/>
      <c r="T130" s="33"/>
      <c r="U130" s="33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7">
        <v>119.0</v>
      </c>
      <c r="C131" s="33"/>
      <c r="D131" s="56" t="str">
        <f>IF(C131="", "", IF(VLOOKUP(C131, Referensi!$C$5:$E$11, 3, TRUE) &gt; 1, VLOOKUP(C131, Referensi!$C$5:$E$11, 3, TRUE) / 100, VLOOKUP(C131, Referensi!$C$5:$E$11, 3, TRUE)))</f>
        <v/>
      </c>
      <c r="E131" s="56" t="str">
        <f>IF(C131="", "", IF(VLOOKUP(C131, Referensi!$C$5:$F$11, 4, TRUE) &gt; 1, VLOOKUP(C131, Referensi!$C$5:$F$11, 4, TRUE) / 100, VLOOKUP(C131, Referensi!$C$5:$F$11, 4, TRUE)))</f>
        <v/>
      </c>
      <c r="F131" s="33"/>
      <c r="G131" s="8" t="str">
        <f t="shared" si="5"/>
        <v/>
      </c>
      <c r="H131" s="38" t="str">
        <f t="shared" si="6"/>
        <v/>
      </c>
      <c r="I131" s="8" t="str">
        <f t="shared" si="7"/>
        <v/>
      </c>
      <c r="J131" s="57">
        <f t="shared" si="1"/>
        <v>0</v>
      </c>
      <c r="K131" s="58">
        <f t="shared" si="2"/>
        <v>0</v>
      </c>
      <c r="L131" s="33"/>
      <c r="M131" s="58">
        <f t="shared" si="3"/>
        <v>0</v>
      </c>
      <c r="N131" s="58" t="str">
        <f t="shared" si="4"/>
        <v/>
      </c>
      <c r="O131" s="33"/>
      <c r="P131" s="33"/>
      <c r="Q131" s="33"/>
      <c r="R131" s="33"/>
      <c r="S131" s="33"/>
      <c r="T131" s="33"/>
      <c r="U131" s="33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7">
        <v>120.0</v>
      </c>
      <c r="C132" s="33"/>
      <c r="D132" s="56" t="str">
        <f>IF(C132="", "", IF(VLOOKUP(C132, Referensi!$C$5:$E$11, 3, TRUE) &gt; 1, VLOOKUP(C132, Referensi!$C$5:$E$11, 3, TRUE) / 100, VLOOKUP(C132, Referensi!$C$5:$E$11, 3, TRUE)))</f>
        <v/>
      </c>
      <c r="E132" s="56" t="str">
        <f>IF(C132="", "", IF(VLOOKUP(C132, Referensi!$C$5:$F$11, 4, TRUE) &gt; 1, VLOOKUP(C132, Referensi!$C$5:$F$11, 4, TRUE) / 100, VLOOKUP(C132, Referensi!$C$5:$F$11, 4, TRUE)))</f>
        <v/>
      </c>
      <c r="F132" s="33"/>
      <c r="G132" s="8" t="str">
        <f t="shared" si="5"/>
        <v/>
      </c>
      <c r="H132" s="38" t="str">
        <f t="shared" si="6"/>
        <v/>
      </c>
      <c r="I132" s="8" t="str">
        <f t="shared" si="7"/>
        <v/>
      </c>
      <c r="J132" s="57">
        <f t="shared" si="1"/>
        <v>0</v>
      </c>
      <c r="K132" s="58">
        <f t="shared" si="2"/>
        <v>0</v>
      </c>
      <c r="L132" s="33"/>
      <c r="M132" s="58">
        <f t="shared" si="3"/>
        <v>0</v>
      </c>
      <c r="N132" s="58" t="str">
        <f t="shared" si="4"/>
        <v/>
      </c>
      <c r="O132" s="33"/>
      <c r="P132" s="33"/>
      <c r="Q132" s="33"/>
      <c r="R132" s="33"/>
      <c r="S132" s="33"/>
      <c r="T132" s="33"/>
      <c r="U132" s="33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7">
        <v>121.0</v>
      </c>
      <c r="C133" s="33"/>
      <c r="D133" s="56" t="str">
        <f>IF(C133="", "", IF(VLOOKUP(C133, Referensi!$C$5:$E$11, 3, TRUE) &gt; 1, VLOOKUP(C133, Referensi!$C$5:$E$11, 3, TRUE) / 100, VLOOKUP(C133, Referensi!$C$5:$E$11, 3, TRUE)))</f>
        <v/>
      </c>
      <c r="E133" s="56" t="str">
        <f>IF(C133="", "", IF(VLOOKUP(C133, Referensi!$C$5:$F$11, 4, TRUE) &gt; 1, VLOOKUP(C133, Referensi!$C$5:$F$11, 4, TRUE) / 100, VLOOKUP(C133, Referensi!$C$5:$F$11, 4, TRUE)))</f>
        <v/>
      </c>
      <c r="F133" s="33"/>
      <c r="G133" s="8" t="str">
        <f t="shared" si="5"/>
        <v/>
      </c>
      <c r="H133" s="38" t="str">
        <f t="shared" si="6"/>
        <v/>
      </c>
      <c r="I133" s="8" t="str">
        <f t="shared" si="7"/>
        <v/>
      </c>
      <c r="J133" s="57">
        <f t="shared" si="1"/>
        <v>0</v>
      </c>
      <c r="K133" s="58">
        <f t="shared" si="2"/>
        <v>0</v>
      </c>
      <c r="L133" s="33"/>
      <c r="M133" s="58">
        <f t="shared" si="3"/>
        <v>0</v>
      </c>
      <c r="N133" s="58" t="str">
        <f t="shared" si="4"/>
        <v/>
      </c>
      <c r="O133" s="33"/>
      <c r="P133" s="33"/>
      <c r="Q133" s="33"/>
      <c r="R133" s="33"/>
      <c r="S133" s="33"/>
      <c r="T133" s="33"/>
      <c r="U133" s="33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7">
        <v>122.0</v>
      </c>
      <c r="C134" s="33"/>
      <c r="D134" s="56" t="str">
        <f>IF(C134="", "", IF(VLOOKUP(C134, Referensi!$C$5:$E$11, 3, TRUE) &gt; 1, VLOOKUP(C134, Referensi!$C$5:$E$11, 3, TRUE) / 100, VLOOKUP(C134, Referensi!$C$5:$E$11, 3, TRUE)))</f>
        <v/>
      </c>
      <c r="E134" s="56" t="str">
        <f>IF(C134="", "", IF(VLOOKUP(C134, Referensi!$C$5:$F$11, 4, TRUE) &gt; 1, VLOOKUP(C134, Referensi!$C$5:$F$11, 4, TRUE) / 100, VLOOKUP(C134, Referensi!$C$5:$F$11, 4, TRUE)))</f>
        <v/>
      </c>
      <c r="F134" s="33"/>
      <c r="G134" s="8" t="str">
        <f t="shared" si="5"/>
        <v/>
      </c>
      <c r="H134" s="38" t="str">
        <f t="shared" si="6"/>
        <v/>
      </c>
      <c r="I134" s="8" t="str">
        <f t="shared" si="7"/>
        <v/>
      </c>
      <c r="J134" s="57">
        <f t="shared" si="1"/>
        <v>0</v>
      </c>
      <c r="K134" s="58">
        <f t="shared" si="2"/>
        <v>0</v>
      </c>
      <c r="L134" s="33"/>
      <c r="M134" s="58">
        <f t="shared" si="3"/>
        <v>0</v>
      </c>
      <c r="N134" s="58" t="str">
        <f t="shared" si="4"/>
        <v/>
      </c>
      <c r="O134" s="33"/>
      <c r="P134" s="33"/>
      <c r="Q134" s="33"/>
      <c r="R134" s="33"/>
      <c r="S134" s="33"/>
      <c r="T134" s="33"/>
      <c r="U134" s="33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7">
        <v>123.0</v>
      </c>
      <c r="C135" s="33"/>
      <c r="D135" s="56" t="str">
        <f>IF(C135="", "", IF(VLOOKUP(C135, Referensi!$C$5:$E$11, 3, TRUE) &gt; 1, VLOOKUP(C135, Referensi!$C$5:$E$11, 3, TRUE) / 100, VLOOKUP(C135, Referensi!$C$5:$E$11, 3, TRUE)))</f>
        <v/>
      </c>
      <c r="E135" s="56" t="str">
        <f>IF(C135="", "", IF(VLOOKUP(C135, Referensi!$C$5:$F$11, 4, TRUE) &gt; 1, VLOOKUP(C135, Referensi!$C$5:$F$11, 4, TRUE) / 100, VLOOKUP(C135, Referensi!$C$5:$F$11, 4, TRUE)))</f>
        <v/>
      </c>
      <c r="F135" s="33"/>
      <c r="G135" s="8" t="str">
        <f t="shared" si="5"/>
        <v/>
      </c>
      <c r="H135" s="38" t="str">
        <f t="shared" si="6"/>
        <v/>
      </c>
      <c r="I135" s="8" t="str">
        <f t="shared" si="7"/>
        <v/>
      </c>
      <c r="J135" s="57">
        <f t="shared" si="1"/>
        <v>0</v>
      </c>
      <c r="K135" s="58">
        <f t="shared" si="2"/>
        <v>0</v>
      </c>
      <c r="L135" s="33"/>
      <c r="M135" s="58">
        <f t="shared" si="3"/>
        <v>0</v>
      </c>
      <c r="N135" s="58" t="str">
        <f t="shared" si="4"/>
        <v/>
      </c>
      <c r="O135" s="33"/>
      <c r="P135" s="33"/>
      <c r="Q135" s="33"/>
      <c r="R135" s="33"/>
      <c r="S135" s="33"/>
      <c r="T135" s="33"/>
      <c r="U135" s="33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7">
        <v>124.0</v>
      </c>
      <c r="C136" s="33"/>
      <c r="D136" s="56" t="str">
        <f>IF(C136="", "", IF(VLOOKUP(C136, Referensi!$C$5:$E$11, 3, TRUE) &gt; 1, VLOOKUP(C136, Referensi!$C$5:$E$11, 3, TRUE) / 100, VLOOKUP(C136, Referensi!$C$5:$E$11, 3, TRUE)))</f>
        <v/>
      </c>
      <c r="E136" s="56" t="str">
        <f>IF(C136="", "", IF(VLOOKUP(C136, Referensi!$C$5:$F$11, 4, TRUE) &gt; 1, VLOOKUP(C136, Referensi!$C$5:$F$11, 4, TRUE) / 100, VLOOKUP(C136, Referensi!$C$5:$F$11, 4, TRUE)))</f>
        <v/>
      </c>
      <c r="F136" s="33"/>
      <c r="G136" s="8" t="str">
        <f t="shared" si="5"/>
        <v/>
      </c>
      <c r="H136" s="38" t="str">
        <f t="shared" si="6"/>
        <v/>
      </c>
      <c r="I136" s="8" t="str">
        <f t="shared" si="7"/>
        <v/>
      </c>
      <c r="J136" s="57">
        <f t="shared" si="1"/>
        <v>0</v>
      </c>
      <c r="K136" s="58">
        <f t="shared" si="2"/>
        <v>0</v>
      </c>
      <c r="L136" s="33"/>
      <c r="M136" s="58">
        <f t="shared" si="3"/>
        <v>0</v>
      </c>
      <c r="N136" s="58" t="str">
        <f t="shared" si="4"/>
        <v/>
      </c>
      <c r="O136" s="33"/>
      <c r="P136" s="33"/>
      <c r="Q136" s="33"/>
      <c r="R136" s="33"/>
      <c r="S136" s="33"/>
      <c r="T136" s="33"/>
      <c r="U136" s="33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7">
        <v>125.0</v>
      </c>
      <c r="C137" s="33"/>
      <c r="D137" s="56" t="str">
        <f>IF(C137="", "", IF(VLOOKUP(C137, Referensi!$C$5:$E$11, 3, TRUE) &gt; 1, VLOOKUP(C137, Referensi!$C$5:$E$11, 3, TRUE) / 100, VLOOKUP(C137, Referensi!$C$5:$E$11, 3, TRUE)))</f>
        <v/>
      </c>
      <c r="E137" s="56" t="str">
        <f>IF(C137="", "", IF(VLOOKUP(C137, Referensi!$C$5:$F$11, 4, TRUE) &gt; 1, VLOOKUP(C137, Referensi!$C$5:$F$11, 4, TRUE) / 100, VLOOKUP(C137, Referensi!$C$5:$F$11, 4, TRUE)))</f>
        <v/>
      </c>
      <c r="F137" s="33"/>
      <c r="G137" s="8" t="str">
        <f t="shared" si="5"/>
        <v/>
      </c>
      <c r="H137" s="38" t="str">
        <f t="shared" si="6"/>
        <v/>
      </c>
      <c r="I137" s="8" t="str">
        <f t="shared" si="7"/>
        <v/>
      </c>
      <c r="J137" s="57">
        <f t="shared" si="1"/>
        <v>0</v>
      </c>
      <c r="K137" s="58">
        <f t="shared" si="2"/>
        <v>0</v>
      </c>
      <c r="L137" s="33"/>
      <c r="M137" s="58">
        <f t="shared" si="3"/>
        <v>0</v>
      </c>
      <c r="N137" s="58" t="str">
        <f t="shared" si="4"/>
        <v/>
      </c>
      <c r="O137" s="33"/>
      <c r="P137" s="33"/>
      <c r="Q137" s="33"/>
      <c r="R137" s="33"/>
      <c r="S137" s="33"/>
      <c r="T137" s="33"/>
      <c r="U137" s="33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7">
        <v>126.0</v>
      </c>
      <c r="C138" s="33"/>
      <c r="D138" s="56" t="str">
        <f>IF(C138="", "", IF(VLOOKUP(C138, Referensi!$C$5:$E$11, 3, TRUE) &gt; 1, VLOOKUP(C138, Referensi!$C$5:$E$11, 3, TRUE) / 100, VLOOKUP(C138, Referensi!$C$5:$E$11, 3, TRUE)))</f>
        <v/>
      </c>
      <c r="E138" s="56" t="str">
        <f>IF(C138="", "", IF(VLOOKUP(C138, Referensi!$C$5:$F$11, 4, TRUE) &gt; 1, VLOOKUP(C138, Referensi!$C$5:$F$11, 4, TRUE) / 100, VLOOKUP(C138, Referensi!$C$5:$F$11, 4, TRUE)))</f>
        <v/>
      </c>
      <c r="F138" s="33"/>
      <c r="G138" s="8" t="str">
        <f t="shared" si="5"/>
        <v/>
      </c>
      <c r="H138" s="38" t="str">
        <f t="shared" si="6"/>
        <v/>
      </c>
      <c r="I138" s="8" t="str">
        <f t="shared" si="7"/>
        <v/>
      </c>
      <c r="J138" s="57">
        <f t="shared" si="1"/>
        <v>0</v>
      </c>
      <c r="K138" s="58">
        <f t="shared" si="2"/>
        <v>0</v>
      </c>
      <c r="L138" s="33"/>
      <c r="M138" s="58">
        <f t="shared" si="3"/>
        <v>0</v>
      </c>
      <c r="N138" s="58" t="str">
        <f t="shared" si="4"/>
        <v/>
      </c>
      <c r="O138" s="33"/>
      <c r="P138" s="33"/>
      <c r="Q138" s="33"/>
      <c r="R138" s="33"/>
      <c r="S138" s="33"/>
      <c r="T138" s="33"/>
      <c r="U138" s="33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7">
        <v>127.0</v>
      </c>
      <c r="C139" s="33"/>
      <c r="D139" s="56" t="str">
        <f>IF(C139="", "", IF(VLOOKUP(C139, Referensi!$C$5:$E$11, 3, TRUE) &gt; 1, VLOOKUP(C139, Referensi!$C$5:$E$11, 3, TRUE) / 100, VLOOKUP(C139, Referensi!$C$5:$E$11, 3, TRUE)))</f>
        <v/>
      </c>
      <c r="E139" s="56" t="str">
        <f>IF(C139="", "", IF(VLOOKUP(C139, Referensi!$C$5:$F$11, 4, TRUE) &gt; 1, VLOOKUP(C139, Referensi!$C$5:$F$11, 4, TRUE) / 100, VLOOKUP(C139, Referensi!$C$5:$F$11, 4, TRUE)))</f>
        <v/>
      </c>
      <c r="F139" s="33"/>
      <c r="G139" s="8" t="str">
        <f t="shared" si="5"/>
        <v/>
      </c>
      <c r="H139" s="38" t="str">
        <f t="shared" si="6"/>
        <v/>
      </c>
      <c r="I139" s="8" t="str">
        <f t="shared" si="7"/>
        <v/>
      </c>
      <c r="J139" s="57">
        <f t="shared" si="1"/>
        <v>0</v>
      </c>
      <c r="K139" s="58">
        <f t="shared" si="2"/>
        <v>0</v>
      </c>
      <c r="L139" s="33"/>
      <c r="M139" s="58">
        <f t="shared" si="3"/>
        <v>0</v>
      </c>
      <c r="N139" s="58" t="str">
        <f t="shared" si="4"/>
        <v/>
      </c>
      <c r="O139" s="33"/>
      <c r="P139" s="33"/>
      <c r="Q139" s="33"/>
      <c r="R139" s="33"/>
      <c r="S139" s="33"/>
      <c r="T139" s="33"/>
      <c r="U139" s="33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7">
        <v>128.0</v>
      </c>
      <c r="C140" s="33"/>
      <c r="D140" s="56" t="str">
        <f>IF(C140="", "", IF(VLOOKUP(C140, Referensi!$C$5:$E$11, 3, TRUE) &gt; 1, VLOOKUP(C140, Referensi!$C$5:$E$11, 3, TRUE) / 100, VLOOKUP(C140, Referensi!$C$5:$E$11, 3, TRUE)))</f>
        <v/>
      </c>
      <c r="E140" s="56" t="str">
        <f>IF(C140="", "", IF(VLOOKUP(C140, Referensi!$C$5:$F$11, 4, TRUE) &gt; 1, VLOOKUP(C140, Referensi!$C$5:$F$11, 4, TRUE) / 100, VLOOKUP(C140, Referensi!$C$5:$F$11, 4, TRUE)))</f>
        <v/>
      </c>
      <c r="F140" s="33"/>
      <c r="G140" s="8" t="str">
        <f t="shared" si="5"/>
        <v/>
      </c>
      <c r="H140" s="38" t="str">
        <f t="shared" si="6"/>
        <v/>
      </c>
      <c r="I140" s="8" t="str">
        <f t="shared" si="7"/>
        <v/>
      </c>
      <c r="J140" s="57">
        <f t="shared" si="1"/>
        <v>0</v>
      </c>
      <c r="K140" s="58">
        <f t="shared" si="2"/>
        <v>0</v>
      </c>
      <c r="L140" s="33"/>
      <c r="M140" s="58">
        <f t="shared" si="3"/>
        <v>0</v>
      </c>
      <c r="N140" s="58" t="str">
        <f t="shared" si="4"/>
        <v/>
      </c>
      <c r="O140" s="33"/>
      <c r="P140" s="33"/>
      <c r="Q140" s="33"/>
      <c r="R140" s="33"/>
      <c r="S140" s="33"/>
      <c r="T140" s="33"/>
      <c r="U140" s="33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7">
        <v>129.0</v>
      </c>
      <c r="C141" s="33"/>
      <c r="D141" s="56" t="str">
        <f>IF(C141="", "", IF(VLOOKUP(C141, Referensi!$C$5:$E$11, 3, TRUE) &gt; 1, VLOOKUP(C141, Referensi!$C$5:$E$11, 3, TRUE) / 100, VLOOKUP(C141, Referensi!$C$5:$E$11, 3, TRUE)))</f>
        <v/>
      </c>
      <c r="E141" s="56" t="str">
        <f>IF(C141="", "", IF(VLOOKUP(C141, Referensi!$C$5:$F$11, 4, TRUE) &gt; 1, VLOOKUP(C141, Referensi!$C$5:$F$11, 4, TRUE) / 100, VLOOKUP(C141, Referensi!$C$5:$F$11, 4, TRUE)))</f>
        <v/>
      </c>
      <c r="F141" s="33"/>
      <c r="G141" s="8" t="str">
        <f t="shared" si="5"/>
        <v/>
      </c>
      <c r="H141" s="38" t="str">
        <f t="shared" si="6"/>
        <v/>
      </c>
      <c r="I141" s="8" t="str">
        <f t="shared" si="7"/>
        <v/>
      </c>
      <c r="J141" s="57">
        <f t="shared" si="1"/>
        <v>0</v>
      </c>
      <c r="K141" s="58">
        <f t="shared" si="2"/>
        <v>0</v>
      </c>
      <c r="L141" s="33"/>
      <c r="M141" s="58">
        <f t="shared" si="3"/>
        <v>0</v>
      </c>
      <c r="N141" s="58" t="str">
        <f t="shared" si="4"/>
        <v/>
      </c>
      <c r="O141" s="33"/>
      <c r="P141" s="33"/>
      <c r="Q141" s="33"/>
      <c r="R141" s="33"/>
      <c r="S141" s="33"/>
      <c r="T141" s="33"/>
      <c r="U141" s="33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7">
        <v>130.0</v>
      </c>
      <c r="C142" s="33"/>
      <c r="D142" s="56" t="str">
        <f>IF(C142="", "", IF(VLOOKUP(C142, Referensi!$C$5:$E$11, 3, TRUE) &gt; 1, VLOOKUP(C142, Referensi!$C$5:$E$11, 3, TRUE) / 100, VLOOKUP(C142, Referensi!$C$5:$E$11, 3, TRUE)))</f>
        <v/>
      </c>
      <c r="E142" s="56" t="str">
        <f>IF(C142="", "", IF(VLOOKUP(C142, Referensi!$C$5:$F$11, 4, TRUE) &gt; 1, VLOOKUP(C142, Referensi!$C$5:$F$11, 4, TRUE) / 100, VLOOKUP(C142, Referensi!$C$5:$F$11, 4, TRUE)))</f>
        <v/>
      </c>
      <c r="F142" s="33"/>
      <c r="G142" s="8" t="str">
        <f t="shared" si="5"/>
        <v/>
      </c>
      <c r="H142" s="38" t="str">
        <f t="shared" si="6"/>
        <v/>
      </c>
      <c r="I142" s="8" t="str">
        <f t="shared" si="7"/>
        <v/>
      </c>
      <c r="J142" s="57">
        <f t="shared" si="1"/>
        <v>0</v>
      </c>
      <c r="K142" s="58">
        <f t="shared" si="2"/>
        <v>0</v>
      </c>
      <c r="L142" s="33"/>
      <c r="M142" s="58">
        <f t="shared" si="3"/>
        <v>0</v>
      </c>
      <c r="N142" s="58" t="str">
        <f t="shared" si="4"/>
        <v/>
      </c>
      <c r="O142" s="33"/>
      <c r="P142" s="33"/>
      <c r="Q142" s="33"/>
      <c r="R142" s="33"/>
      <c r="S142" s="33"/>
      <c r="T142" s="33"/>
      <c r="U142" s="33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7">
        <v>131.0</v>
      </c>
      <c r="C143" s="33"/>
      <c r="D143" s="56" t="str">
        <f>IF(C143="", "", IF(VLOOKUP(C143, Referensi!$C$5:$E$11, 3, TRUE) &gt; 1, VLOOKUP(C143, Referensi!$C$5:$E$11, 3, TRUE) / 100, VLOOKUP(C143, Referensi!$C$5:$E$11, 3, TRUE)))</f>
        <v/>
      </c>
      <c r="E143" s="56" t="str">
        <f>IF(C143="", "", IF(VLOOKUP(C143, Referensi!$C$5:$F$11, 4, TRUE) &gt; 1, VLOOKUP(C143, Referensi!$C$5:$F$11, 4, TRUE) / 100, VLOOKUP(C143, Referensi!$C$5:$F$11, 4, TRUE)))</f>
        <v/>
      </c>
      <c r="F143" s="33"/>
      <c r="G143" s="8" t="str">
        <f t="shared" si="5"/>
        <v/>
      </c>
      <c r="H143" s="38" t="str">
        <f t="shared" si="6"/>
        <v/>
      </c>
      <c r="I143" s="8" t="str">
        <f t="shared" si="7"/>
        <v/>
      </c>
      <c r="J143" s="57">
        <f t="shared" si="1"/>
        <v>0</v>
      </c>
      <c r="K143" s="58">
        <f t="shared" si="2"/>
        <v>0</v>
      </c>
      <c r="L143" s="33"/>
      <c r="M143" s="58">
        <f t="shared" si="3"/>
        <v>0</v>
      </c>
      <c r="N143" s="58" t="str">
        <f t="shared" si="4"/>
        <v/>
      </c>
      <c r="O143" s="33"/>
      <c r="P143" s="33"/>
      <c r="Q143" s="33"/>
      <c r="R143" s="33"/>
      <c r="S143" s="33"/>
      <c r="T143" s="33"/>
      <c r="U143" s="33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7">
        <v>132.0</v>
      </c>
      <c r="C144" s="33"/>
      <c r="D144" s="56" t="str">
        <f>IF(C144="", "", IF(VLOOKUP(C144, Referensi!$C$5:$E$11, 3, TRUE) &gt; 1, VLOOKUP(C144, Referensi!$C$5:$E$11, 3, TRUE) / 100, VLOOKUP(C144, Referensi!$C$5:$E$11, 3, TRUE)))</f>
        <v/>
      </c>
      <c r="E144" s="56" t="str">
        <f>IF(C144="", "", IF(VLOOKUP(C144, Referensi!$C$5:$F$11, 4, TRUE) &gt; 1, VLOOKUP(C144, Referensi!$C$5:$F$11, 4, TRUE) / 100, VLOOKUP(C144, Referensi!$C$5:$F$11, 4, TRUE)))</f>
        <v/>
      </c>
      <c r="F144" s="33"/>
      <c r="G144" s="8" t="str">
        <f t="shared" si="5"/>
        <v/>
      </c>
      <c r="H144" s="38" t="str">
        <f t="shared" si="6"/>
        <v/>
      </c>
      <c r="I144" s="8" t="str">
        <f t="shared" si="7"/>
        <v/>
      </c>
      <c r="J144" s="57">
        <f t="shared" si="1"/>
        <v>0</v>
      </c>
      <c r="K144" s="58">
        <f t="shared" si="2"/>
        <v>0</v>
      </c>
      <c r="L144" s="33"/>
      <c r="M144" s="58">
        <f t="shared" si="3"/>
        <v>0</v>
      </c>
      <c r="N144" s="58" t="str">
        <f t="shared" si="4"/>
        <v/>
      </c>
      <c r="O144" s="33"/>
      <c r="P144" s="33"/>
      <c r="Q144" s="33"/>
      <c r="R144" s="33"/>
      <c r="S144" s="33"/>
      <c r="T144" s="33"/>
      <c r="U144" s="33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7">
        <v>133.0</v>
      </c>
      <c r="C145" s="33"/>
      <c r="D145" s="56" t="str">
        <f>IF(C145="", "", IF(VLOOKUP(C145, Referensi!$C$5:$E$11, 3, TRUE) &gt; 1, VLOOKUP(C145, Referensi!$C$5:$E$11, 3, TRUE) / 100, VLOOKUP(C145, Referensi!$C$5:$E$11, 3, TRUE)))</f>
        <v/>
      </c>
      <c r="E145" s="56" t="str">
        <f>IF(C145="", "", IF(VLOOKUP(C145, Referensi!$C$5:$F$11, 4, TRUE) &gt; 1, VLOOKUP(C145, Referensi!$C$5:$F$11, 4, TRUE) / 100, VLOOKUP(C145, Referensi!$C$5:$F$11, 4, TRUE)))</f>
        <v/>
      </c>
      <c r="F145" s="33"/>
      <c r="G145" s="8" t="str">
        <f t="shared" si="5"/>
        <v/>
      </c>
      <c r="H145" s="38" t="str">
        <f t="shared" si="6"/>
        <v/>
      </c>
      <c r="I145" s="8" t="str">
        <f t="shared" si="7"/>
        <v/>
      </c>
      <c r="J145" s="57">
        <f t="shared" si="1"/>
        <v>0</v>
      </c>
      <c r="K145" s="58">
        <f t="shared" si="2"/>
        <v>0</v>
      </c>
      <c r="L145" s="33"/>
      <c r="M145" s="58">
        <f t="shared" si="3"/>
        <v>0</v>
      </c>
      <c r="N145" s="58" t="str">
        <f t="shared" si="4"/>
        <v/>
      </c>
      <c r="O145" s="33"/>
      <c r="P145" s="33"/>
      <c r="Q145" s="33"/>
      <c r="R145" s="33"/>
      <c r="S145" s="33"/>
      <c r="T145" s="33"/>
      <c r="U145" s="33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7">
        <v>134.0</v>
      </c>
      <c r="C146" s="33"/>
      <c r="D146" s="56" t="str">
        <f>IF(C146="", "", IF(VLOOKUP(C146, Referensi!$C$5:$E$11, 3, TRUE) &gt; 1, VLOOKUP(C146, Referensi!$C$5:$E$11, 3, TRUE) / 100, VLOOKUP(C146, Referensi!$C$5:$E$11, 3, TRUE)))</f>
        <v/>
      </c>
      <c r="E146" s="56" t="str">
        <f>IF(C146="", "", IF(VLOOKUP(C146, Referensi!$C$5:$F$11, 4, TRUE) &gt; 1, VLOOKUP(C146, Referensi!$C$5:$F$11, 4, TRUE) / 100, VLOOKUP(C146, Referensi!$C$5:$F$11, 4, TRUE)))</f>
        <v/>
      </c>
      <c r="F146" s="33"/>
      <c r="G146" s="8" t="str">
        <f t="shared" si="5"/>
        <v/>
      </c>
      <c r="H146" s="38" t="str">
        <f t="shared" si="6"/>
        <v/>
      </c>
      <c r="I146" s="8" t="str">
        <f t="shared" si="7"/>
        <v/>
      </c>
      <c r="J146" s="57">
        <f t="shared" si="1"/>
        <v>0</v>
      </c>
      <c r="K146" s="58">
        <f t="shared" si="2"/>
        <v>0</v>
      </c>
      <c r="L146" s="33"/>
      <c r="M146" s="58">
        <f t="shared" si="3"/>
        <v>0</v>
      </c>
      <c r="N146" s="58" t="str">
        <f t="shared" si="4"/>
        <v/>
      </c>
      <c r="O146" s="33"/>
      <c r="P146" s="33"/>
      <c r="Q146" s="33"/>
      <c r="R146" s="33"/>
      <c r="S146" s="33"/>
      <c r="T146" s="33"/>
      <c r="U146" s="33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7">
        <v>135.0</v>
      </c>
      <c r="C147" s="33"/>
      <c r="D147" s="56" t="str">
        <f>IF(C147="", "", IF(VLOOKUP(C147, Referensi!$C$5:$E$11, 3, TRUE) &gt; 1, VLOOKUP(C147, Referensi!$C$5:$E$11, 3, TRUE) / 100, VLOOKUP(C147, Referensi!$C$5:$E$11, 3, TRUE)))</f>
        <v/>
      </c>
      <c r="E147" s="56" t="str">
        <f>IF(C147="", "", IF(VLOOKUP(C147, Referensi!$C$5:$F$11, 4, TRUE) &gt; 1, VLOOKUP(C147, Referensi!$C$5:$F$11, 4, TRUE) / 100, VLOOKUP(C147, Referensi!$C$5:$F$11, 4, TRUE)))</f>
        <v/>
      </c>
      <c r="F147" s="33"/>
      <c r="G147" s="8" t="str">
        <f t="shared" si="5"/>
        <v/>
      </c>
      <c r="H147" s="38" t="str">
        <f t="shared" si="6"/>
        <v/>
      </c>
      <c r="I147" s="8" t="str">
        <f t="shared" si="7"/>
        <v/>
      </c>
      <c r="J147" s="57">
        <f t="shared" si="1"/>
        <v>0</v>
      </c>
      <c r="K147" s="58">
        <f t="shared" si="2"/>
        <v>0</v>
      </c>
      <c r="L147" s="33"/>
      <c r="M147" s="58">
        <f t="shared" si="3"/>
        <v>0</v>
      </c>
      <c r="N147" s="58" t="str">
        <f t="shared" si="4"/>
        <v/>
      </c>
      <c r="O147" s="33"/>
      <c r="P147" s="33"/>
      <c r="Q147" s="33"/>
      <c r="R147" s="33"/>
      <c r="S147" s="33"/>
      <c r="T147" s="33"/>
      <c r="U147" s="33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7">
        <v>136.0</v>
      </c>
      <c r="C148" s="33"/>
      <c r="D148" s="56" t="str">
        <f>IF(C148="", "", IF(VLOOKUP(C148, Referensi!$C$5:$E$11, 3, TRUE) &gt; 1, VLOOKUP(C148, Referensi!$C$5:$E$11, 3, TRUE) / 100, VLOOKUP(C148, Referensi!$C$5:$E$11, 3, TRUE)))</f>
        <v/>
      </c>
      <c r="E148" s="56" t="str">
        <f>IF(C148="", "", IF(VLOOKUP(C148, Referensi!$C$5:$F$11, 4, TRUE) &gt; 1, VLOOKUP(C148, Referensi!$C$5:$F$11, 4, TRUE) / 100, VLOOKUP(C148, Referensi!$C$5:$F$11, 4, TRUE)))</f>
        <v/>
      </c>
      <c r="F148" s="33"/>
      <c r="G148" s="8" t="str">
        <f t="shared" si="5"/>
        <v/>
      </c>
      <c r="H148" s="38" t="str">
        <f t="shared" si="6"/>
        <v/>
      </c>
      <c r="I148" s="8" t="str">
        <f t="shared" si="7"/>
        <v/>
      </c>
      <c r="J148" s="57">
        <f t="shared" si="1"/>
        <v>0</v>
      </c>
      <c r="K148" s="58">
        <f t="shared" si="2"/>
        <v>0</v>
      </c>
      <c r="L148" s="33"/>
      <c r="M148" s="58">
        <f t="shared" si="3"/>
        <v>0</v>
      </c>
      <c r="N148" s="58" t="str">
        <f t="shared" si="4"/>
        <v/>
      </c>
      <c r="O148" s="33"/>
      <c r="P148" s="33"/>
      <c r="Q148" s="33"/>
      <c r="R148" s="33"/>
      <c r="S148" s="33"/>
      <c r="T148" s="33"/>
      <c r="U148" s="33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7">
        <v>137.0</v>
      </c>
      <c r="C149" s="33"/>
      <c r="D149" s="56" t="str">
        <f>IF(C149="", "", IF(VLOOKUP(C149, Referensi!$C$5:$E$11, 3, TRUE) &gt; 1, VLOOKUP(C149, Referensi!$C$5:$E$11, 3, TRUE) / 100, VLOOKUP(C149, Referensi!$C$5:$E$11, 3, TRUE)))</f>
        <v/>
      </c>
      <c r="E149" s="56" t="str">
        <f>IF(C149="", "", IF(VLOOKUP(C149, Referensi!$C$5:$F$11, 4, TRUE) &gt; 1, VLOOKUP(C149, Referensi!$C$5:$F$11, 4, TRUE) / 100, VLOOKUP(C149, Referensi!$C$5:$F$11, 4, TRUE)))</f>
        <v/>
      </c>
      <c r="F149" s="33"/>
      <c r="G149" s="8" t="str">
        <f t="shared" si="5"/>
        <v/>
      </c>
      <c r="H149" s="38" t="str">
        <f t="shared" si="6"/>
        <v/>
      </c>
      <c r="I149" s="8" t="str">
        <f t="shared" si="7"/>
        <v/>
      </c>
      <c r="J149" s="57">
        <f t="shared" si="1"/>
        <v>0</v>
      </c>
      <c r="K149" s="58">
        <f t="shared" si="2"/>
        <v>0</v>
      </c>
      <c r="L149" s="33"/>
      <c r="M149" s="58">
        <f t="shared" si="3"/>
        <v>0</v>
      </c>
      <c r="N149" s="58" t="str">
        <f t="shared" si="4"/>
        <v/>
      </c>
      <c r="O149" s="33"/>
      <c r="P149" s="33"/>
      <c r="Q149" s="33"/>
      <c r="R149" s="33"/>
      <c r="S149" s="33"/>
      <c r="T149" s="33"/>
      <c r="U149" s="33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7">
        <v>138.0</v>
      </c>
      <c r="C150" s="33"/>
      <c r="D150" s="56" t="str">
        <f>IF(C150="", "", IF(VLOOKUP(C150, Referensi!$C$5:$E$11, 3, TRUE) &gt; 1, VLOOKUP(C150, Referensi!$C$5:$E$11, 3, TRUE) / 100, VLOOKUP(C150, Referensi!$C$5:$E$11, 3, TRUE)))</f>
        <v/>
      </c>
      <c r="E150" s="56" t="str">
        <f>IF(C150="", "", IF(VLOOKUP(C150, Referensi!$C$5:$F$11, 4, TRUE) &gt; 1, VLOOKUP(C150, Referensi!$C$5:$F$11, 4, TRUE) / 100, VLOOKUP(C150, Referensi!$C$5:$F$11, 4, TRUE)))</f>
        <v/>
      </c>
      <c r="F150" s="33"/>
      <c r="G150" s="8" t="str">
        <f t="shared" si="5"/>
        <v/>
      </c>
      <c r="H150" s="38" t="str">
        <f t="shared" si="6"/>
        <v/>
      </c>
      <c r="I150" s="8" t="str">
        <f t="shared" si="7"/>
        <v/>
      </c>
      <c r="J150" s="57">
        <f t="shared" si="1"/>
        <v>0</v>
      </c>
      <c r="K150" s="58">
        <f t="shared" si="2"/>
        <v>0</v>
      </c>
      <c r="L150" s="33"/>
      <c r="M150" s="58">
        <f t="shared" si="3"/>
        <v>0</v>
      </c>
      <c r="N150" s="58" t="str">
        <f t="shared" si="4"/>
        <v/>
      </c>
      <c r="O150" s="33"/>
      <c r="P150" s="33"/>
      <c r="Q150" s="33"/>
      <c r="R150" s="33"/>
      <c r="S150" s="33"/>
      <c r="T150" s="33"/>
      <c r="U150" s="33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7">
        <v>139.0</v>
      </c>
      <c r="C151" s="33"/>
      <c r="D151" s="56" t="str">
        <f>IF(C151="", "", IF(VLOOKUP(C151, Referensi!$C$5:$E$11, 3, TRUE) &gt; 1, VLOOKUP(C151, Referensi!$C$5:$E$11, 3, TRUE) / 100, VLOOKUP(C151, Referensi!$C$5:$E$11, 3, TRUE)))</f>
        <v/>
      </c>
      <c r="E151" s="56" t="str">
        <f>IF(C151="", "", IF(VLOOKUP(C151, Referensi!$C$5:$F$11, 4, TRUE) &gt; 1, VLOOKUP(C151, Referensi!$C$5:$F$11, 4, TRUE) / 100, VLOOKUP(C151, Referensi!$C$5:$F$11, 4, TRUE)))</f>
        <v/>
      </c>
      <c r="F151" s="33"/>
      <c r="G151" s="8" t="str">
        <f t="shared" si="5"/>
        <v/>
      </c>
      <c r="H151" s="38" t="str">
        <f t="shared" si="6"/>
        <v/>
      </c>
      <c r="I151" s="8" t="str">
        <f t="shared" si="7"/>
        <v/>
      </c>
      <c r="J151" s="57">
        <f t="shared" si="1"/>
        <v>0</v>
      </c>
      <c r="K151" s="58">
        <f t="shared" si="2"/>
        <v>0</v>
      </c>
      <c r="L151" s="33"/>
      <c r="M151" s="58">
        <f t="shared" si="3"/>
        <v>0</v>
      </c>
      <c r="N151" s="58" t="str">
        <f t="shared" si="4"/>
        <v/>
      </c>
      <c r="O151" s="33"/>
      <c r="P151" s="33"/>
      <c r="Q151" s="33"/>
      <c r="R151" s="33"/>
      <c r="S151" s="33"/>
      <c r="T151" s="33"/>
      <c r="U151" s="33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7">
        <v>140.0</v>
      </c>
      <c r="C152" s="33"/>
      <c r="D152" s="56" t="str">
        <f>IF(C152="", "", IF(VLOOKUP(C152, Referensi!$C$5:$E$11, 3, TRUE) &gt; 1, VLOOKUP(C152, Referensi!$C$5:$E$11, 3, TRUE) / 100, VLOOKUP(C152, Referensi!$C$5:$E$11, 3, TRUE)))</f>
        <v/>
      </c>
      <c r="E152" s="56" t="str">
        <f>IF(C152="", "", IF(VLOOKUP(C152, Referensi!$C$5:$F$11, 4, TRUE) &gt; 1, VLOOKUP(C152, Referensi!$C$5:$F$11, 4, TRUE) / 100, VLOOKUP(C152, Referensi!$C$5:$F$11, 4, TRUE)))</f>
        <v/>
      </c>
      <c r="F152" s="33"/>
      <c r="G152" s="8" t="str">
        <f t="shared" si="5"/>
        <v/>
      </c>
      <c r="H152" s="38" t="str">
        <f t="shared" si="6"/>
        <v/>
      </c>
      <c r="I152" s="8" t="str">
        <f t="shared" si="7"/>
        <v/>
      </c>
      <c r="J152" s="57">
        <f t="shared" si="1"/>
        <v>0</v>
      </c>
      <c r="K152" s="58">
        <f t="shared" si="2"/>
        <v>0</v>
      </c>
      <c r="L152" s="33"/>
      <c r="M152" s="58">
        <f t="shared" si="3"/>
        <v>0</v>
      </c>
      <c r="N152" s="58" t="str">
        <f t="shared" si="4"/>
        <v/>
      </c>
      <c r="O152" s="33"/>
      <c r="P152" s="33"/>
      <c r="Q152" s="33"/>
      <c r="R152" s="33"/>
      <c r="S152" s="33"/>
      <c r="T152" s="33"/>
      <c r="U152" s="33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7">
        <v>141.0</v>
      </c>
      <c r="C153" s="33"/>
      <c r="D153" s="56" t="str">
        <f>IF(C153="", "", IF(VLOOKUP(C153, Referensi!$C$5:$E$11, 3, TRUE) &gt; 1, VLOOKUP(C153, Referensi!$C$5:$E$11, 3, TRUE) / 100, VLOOKUP(C153, Referensi!$C$5:$E$11, 3, TRUE)))</f>
        <v/>
      </c>
      <c r="E153" s="56" t="str">
        <f>IF(C153="", "", IF(VLOOKUP(C153, Referensi!$C$5:$F$11, 4, TRUE) &gt; 1, VLOOKUP(C153, Referensi!$C$5:$F$11, 4, TRUE) / 100, VLOOKUP(C153, Referensi!$C$5:$F$11, 4, TRUE)))</f>
        <v/>
      </c>
      <c r="F153" s="33"/>
      <c r="G153" s="8" t="str">
        <f t="shared" si="5"/>
        <v/>
      </c>
      <c r="H153" s="38" t="str">
        <f t="shared" si="6"/>
        <v/>
      </c>
      <c r="I153" s="8" t="str">
        <f t="shared" si="7"/>
        <v/>
      </c>
      <c r="J153" s="57">
        <f t="shared" si="1"/>
        <v>0</v>
      </c>
      <c r="K153" s="58">
        <f t="shared" si="2"/>
        <v>0</v>
      </c>
      <c r="L153" s="33"/>
      <c r="M153" s="58">
        <f t="shared" si="3"/>
        <v>0</v>
      </c>
      <c r="N153" s="58" t="str">
        <f t="shared" si="4"/>
        <v/>
      </c>
      <c r="O153" s="33"/>
      <c r="P153" s="33"/>
      <c r="Q153" s="33"/>
      <c r="R153" s="33"/>
      <c r="S153" s="33"/>
      <c r="T153" s="33"/>
      <c r="U153" s="33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7">
        <v>142.0</v>
      </c>
      <c r="C154" s="33"/>
      <c r="D154" s="56" t="str">
        <f>IF(C154="", "", IF(VLOOKUP(C154, Referensi!$C$5:$E$11, 3, TRUE) &gt; 1, VLOOKUP(C154, Referensi!$C$5:$E$11, 3, TRUE) / 100, VLOOKUP(C154, Referensi!$C$5:$E$11, 3, TRUE)))</f>
        <v/>
      </c>
      <c r="E154" s="56" t="str">
        <f>IF(C154="", "", IF(VLOOKUP(C154, Referensi!$C$5:$F$11, 4, TRUE) &gt; 1, VLOOKUP(C154, Referensi!$C$5:$F$11, 4, TRUE) / 100, VLOOKUP(C154, Referensi!$C$5:$F$11, 4, TRUE)))</f>
        <v/>
      </c>
      <c r="F154" s="33"/>
      <c r="G154" s="8" t="str">
        <f t="shared" si="5"/>
        <v/>
      </c>
      <c r="H154" s="38" t="str">
        <f t="shared" si="6"/>
        <v/>
      </c>
      <c r="I154" s="8" t="str">
        <f t="shared" si="7"/>
        <v/>
      </c>
      <c r="J154" s="57">
        <f t="shared" si="1"/>
        <v>0</v>
      </c>
      <c r="K154" s="58">
        <f t="shared" si="2"/>
        <v>0</v>
      </c>
      <c r="L154" s="33"/>
      <c r="M154" s="58">
        <f t="shared" si="3"/>
        <v>0</v>
      </c>
      <c r="N154" s="58" t="str">
        <f t="shared" si="4"/>
        <v/>
      </c>
      <c r="O154" s="33"/>
      <c r="P154" s="33"/>
      <c r="Q154" s="33"/>
      <c r="R154" s="33"/>
      <c r="S154" s="33"/>
      <c r="T154" s="33"/>
      <c r="U154" s="33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7">
        <v>143.0</v>
      </c>
      <c r="C155" s="33"/>
      <c r="D155" s="56" t="str">
        <f>IF(C155="", "", IF(VLOOKUP(C155, Referensi!$C$5:$E$11, 3, TRUE) &gt; 1, VLOOKUP(C155, Referensi!$C$5:$E$11, 3, TRUE) / 100, VLOOKUP(C155, Referensi!$C$5:$E$11, 3, TRUE)))</f>
        <v/>
      </c>
      <c r="E155" s="56" t="str">
        <f>IF(C155="", "", IF(VLOOKUP(C155, Referensi!$C$5:$F$11, 4, TRUE) &gt; 1, VLOOKUP(C155, Referensi!$C$5:$F$11, 4, TRUE) / 100, VLOOKUP(C155, Referensi!$C$5:$F$11, 4, TRUE)))</f>
        <v/>
      </c>
      <c r="F155" s="33"/>
      <c r="G155" s="8" t="str">
        <f t="shared" si="5"/>
        <v/>
      </c>
      <c r="H155" s="38" t="str">
        <f t="shared" si="6"/>
        <v/>
      </c>
      <c r="I155" s="8" t="str">
        <f t="shared" si="7"/>
        <v/>
      </c>
      <c r="J155" s="57">
        <f t="shared" si="1"/>
        <v>0</v>
      </c>
      <c r="K155" s="58">
        <f t="shared" si="2"/>
        <v>0</v>
      </c>
      <c r="L155" s="33"/>
      <c r="M155" s="58">
        <f t="shared" si="3"/>
        <v>0</v>
      </c>
      <c r="N155" s="58" t="str">
        <f t="shared" si="4"/>
        <v/>
      </c>
      <c r="O155" s="33"/>
      <c r="P155" s="33"/>
      <c r="Q155" s="33"/>
      <c r="R155" s="33"/>
      <c r="S155" s="33"/>
      <c r="T155" s="33"/>
      <c r="U155" s="33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7">
        <v>144.0</v>
      </c>
      <c r="C156" s="33"/>
      <c r="D156" s="56" t="str">
        <f>IF(C156="", "", IF(VLOOKUP(C156, Referensi!$C$5:$E$11, 3, TRUE) &gt; 1, VLOOKUP(C156, Referensi!$C$5:$E$11, 3, TRUE) / 100, VLOOKUP(C156, Referensi!$C$5:$E$11, 3, TRUE)))</f>
        <v/>
      </c>
      <c r="E156" s="56" t="str">
        <f>IF(C156="", "", IF(VLOOKUP(C156, Referensi!$C$5:$F$11, 4, TRUE) &gt; 1, VLOOKUP(C156, Referensi!$C$5:$F$11, 4, TRUE) / 100, VLOOKUP(C156, Referensi!$C$5:$F$11, 4, TRUE)))</f>
        <v/>
      </c>
      <c r="F156" s="33"/>
      <c r="G156" s="8" t="str">
        <f t="shared" si="5"/>
        <v/>
      </c>
      <c r="H156" s="38" t="str">
        <f t="shared" si="6"/>
        <v/>
      </c>
      <c r="I156" s="8" t="str">
        <f t="shared" si="7"/>
        <v/>
      </c>
      <c r="J156" s="57">
        <f t="shared" si="1"/>
        <v>0</v>
      </c>
      <c r="K156" s="58">
        <f t="shared" si="2"/>
        <v>0</v>
      </c>
      <c r="L156" s="33"/>
      <c r="M156" s="58">
        <f t="shared" si="3"/>
        <v>0</v>
      </c>
      <c r="N156" s="58" t="str">
        <f t="shared" si="4"/>
        <v/>
      </c>
      <c r="O156" s="33"/>
      <c r="P156" s="33"/>
      <c r="Q156" s="33"/>
      <c r="R156" s="33"/>
      <c r="S156" s="33"/>
      <c r="T156" s="33"/>
      <c r="U156" s="33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7">
        <v>145.0</v>
      </c>
      <c r="C157" s="33"/>
      <c r="D157" s="56" t="str">
        <f>IF(C157="", "", IF(VLOOKUP(C157, Referensi!$C$5:$E$11, 3, TRUE) &gt; 1, VLOOKUP(C157, Referensi!$C$5:$E$11, 3, TRUE) / 100, VLOOKUP(C157, Referensi!$C$5:$E$11, 3, TRUE)))</f>
        <v/>
      </c>
      <c r="E157" s="56" t="str">
        <f>IF(C157="", "", IF(VLOOKUP(C157, Referensi!$C$5:$F$11, 4, TRUE) &gt; 1, VLOOKUP(C157, Referensi!$C$5:$F$11, 4, TRUE) / 100, VLOOKUP(C157, Referensi!$C$5:$F$11, 4, TRUE)))</f>
        <v/>
      </c>
      <c r="F157" s="33"/>
      <c r="G157" s="8" t="str">
        <f t="shared" si="5"/>
        <v/>
      </c>
      <c r="H157" s="38" t="str">
        <f t="shared" si="6"/>
        <v/>
      </c>
      <c r="I157" s="8" t="str">
        <f t="shared" si="7"/>
        <v/>
      </c>
      <c r="J157" s="57">
        <f t="shared" si="1"/>
        <v>0</v>
      </c>
      <c r="K157" s="58">
        <f t="shared" si="2"/>
        <v>0</v>
      </c>
      <c r="L157" s="33"/>
      <c r="M157" s="58">
        <f t="shared" si="3"/>
        <v>0</v>
      </c>
      <c r="N157" s="58" t="str">
        <f t="shared" si="4"/>
        <v/>
      </c>
      <c r="O157" s="33"/>
      <c r="P157" s="33"/>
      <c r="Q157" s="33"/>
      <c r="R157" s="33"/>
      <c r="S157" s="33"/>
      <c r="T157" s="33"/>
      <c r="U157" s="33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7">
        <v>146.0</v>
      </c>
      <c r="C158" s="33"/>
      <c r="D158" s="56" t="str">
        <f>IF(C158="", "", IF(VLOOKUP(C158, Referensi!$C$5:$E$11, 3, TRUE) &gt; 1, VLOOKUP(C158, Referensi!$C$5:$E$11, 3, TRUE) / 100, VLOOKUP(C158, Referensi!$C$5:$E$11, 3, TRUE)))</f>
        <v/>
      </c>
      <c r="E158" s="56" t="str">
        <f>IF(C158="", "", IF(VLOOKUP(C158, Referensi!$C$5:$F$11, 4, TRUE) &gt; 1, VLOOKUP(C158, Referensi!$C$5:$F$11, 4, TRUE) / 100, VLOOKUP(C158, Referensi!$C$5:$F$11, 4, TRUE)))</f>
        <v/>
      </c>
      <c r="F158" s="33"/>
      <c r="G158" s="8" t="str">
        <f t="shared" si="5"/>
        <v/>
      </c>
      <c r="H158" s="38" t="str">
        <f t="shared" si="6"/>
        <v/>
      </c>
      <c r="I158" s="8" t="str">
        <f t="shared" si="7"/>
        <v/>
      </c>
      <c r="J158" s="57">
        <f t="shared" si="1"/>
        <v>0</v>
      </c>
      <c r="K158" s="58">
        <f t="shared" si="2"/>
        <v>0</v>
      </c>
      <c r="L158" s="33"/>
      <c r="M158" s="58">
        <f t="shared" si="3"/>
        <v>0</v>
      </c>
      <c r="N158" s="58" t="str">
        <f t="shared" si="4"/>
        <v/>
      </c>
      <c r="O158" s="33"/>
      <c r="P158" s="33"/>
      <c r="Q158" s="33"/>
      <c r="R158" s="33"/>
      <c r="S158" s="33"/>
      <c r="T158" s="33"/>
      <c r="U158" s="33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7">
        <v>147.0</v>
      </c>
      <c r="C159" s="33"/>
      <c r="D159" s="56" t="str">
        <f>IF(C159="", "", IF(VLOOKUP(C159, Referensi!$C$5:$E$11, 3, TRUE) &gt; 1, VLOOKUP(C159, Referensi!$C$5:$E$11, 3, TRUE) / 100, VLOOKUP(C159, Referensi!$C$5:$E$11, 3, TRUE)))</f>
        <v/>
      </c>
      <c r="E159" s="56" t="str">
        <f>IF(C159="", "", IF(VLOOKUP(C159, Referensi!$C$5:$F$11, 4, TRUE) &gt; 1, VLOOKUP(C159, Referensi!$C$5:$F$11, 4, TRUE) / 100, VLOOKUP(C159, Referensi!$C$5:$F$11, 4, TRUE)))</f>
        <v/>
      </c>
      <c r="F159" s="33"/>
      <c r="G159" s="8" t="str">
        <f t="shared" si="5"/>
        <v/>
      </c>
      <c r="H159" s="38" t="str">
        <f t="shared" si="6"/>
        <v/>
      </c>
      <c r="I159" s="8" t="str">
        <f t="shared" si="7"/>
        <v/>
      </c>
      <c r="J159" s="57">
        <f t="shared" si="1"/>
        <v>0</v>
      </c>
      <c r="K159" s="58">
        <f t="shared" si="2"/>
        <v>0</v>
      </c>
      <c r="L159" s="33"/>
      <c r="M159" s="58">
        <f t="shared" si="3"/>
        <v>0</v>
      </c>
      <c r="N159" s="58" t="str">
        <f t="shared" si="4"/>
        <v/>
      </c>
      <c r="O159" s="33"/>
      <c r="P159" s="33"/>
      <c r="Q159" s="33"/>
      <c r="R159" s="33"/>
      <c r="S159" s="33"/>
      <c r="T159" s="33"/>
      <c r="U159" s="33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7">
        <v>148.0</v>
      </c>
      <c r="C160" s="33"/>
      <c r="D160" s="56" t="str">
        <f>IF(C160="", "", IF(VLOOKUP(C160, Referensi!$C$5:$E$11, 3, TRUE) &gt; 1, VLOOKUP(C160, Referensi!$C$5:$E$11, 3, TRUE) / 100, VLOOKUP(C160, Referensi!$C$5:$E$11, 3, TRUE)))</f>
        <v/>
      </c>
      <c r="E160" s="56" t="str">
        <f>IF(C160="", "", IF(VLOOKUP(C160, Referensi!$C$5:$F$11, 4, TRUE) &gt; 1, VLOOKUP(C160, Referensi!$C$5:$F$11, 4, TRUE) / 100, VLOOKUP(C160, Referensi!$C$5:$F$11, 4, TRUE)))</f>
        <v/>
      </c>
      <c r="F160" s="33"/>
      <c r="G160" s="8" t="str">
        <f t="shared" si="5"/>
        <v/>
      </c>
      <c r="H160" s="38" t="str">
        <f t="shared" si="6"/>
        <v/>
      </c>
      <c r="I160" s="8" t="str">
        <f t="shared" si="7"/>
        <v/>
      </c>
      <c r="J160" s="57">
        <f t="shared" si="1"/>
        <v>0</v>
      </c>
      <c r="K160" s="58">
        <f t="shared" si="2"/>
        <v>0</v>
      </c>
      <c r="L160" s="33"/>
      <c r="M160" s="58">
        <f t="shared" si="3"/>
        <v>0</v>
      </c>
      <c r="N160" s="58" t="str">
        <f t="shared" si="4"/>
        <v/>
      </c>
      <c r="O160" s="33"/>
      <c r="P160" s="33"/>
      <c r="Q160" s="33"/>
      <c r="R160" s="33"/>
      <c r="S160" s="33"/>
      <c r="T160" s="33"/>
      <c r="U160" s="33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7">
        <v>149.0</v>
      </c>
      <c r="C161" s="33"/>
      <c r="D161" s="56" t="str">
        <f>IF(C161="", "", IF(VLOOKUP(C161, Referensi!$C$5:$E$11, 3, TRUE) &gt; 1, VLOOKUP(C161, Referensi!$C$5:$E$11, 3, TRUE) / 100, VLOOKUP(C161, Referensi!$C$5:$E$11, 3, TRUE)))</f>
        <v/>
      </c>
      <c r="E161" s="56" t="str">
        <f>IF(C161="", "", IF(VLOOKUP(C161, Referensi!$C$5:$F$11, 4, TRUE) &gt; 1, VLOOKUP(C161, Referensi!$C$5:$F$11, 4, TRUE) / 100, VLOOKUP(C161, Referensi!$C$5:$F$11, 4, TRUE)))</f>
        <v/>
      </c>
      <c r="F161" s="33"/>
      <c r="G161" s="8" t="str">
        <f t="shared" si="5"/>
        <v/>
      </c>
      <c r="H161" s="38" t="str">
        <f t="shared" si="6"/>
        <v/>
      </c>
      <c r="I161" s="8" t="str">
        <f t="shared" si="7"/>
        <v/>
      </c>
      <c r="J161" s="57">
        <f t="shared" si="1"/>
        <v>0</v>
      </c>
      <c r="K161" s="58">
        <f t="shared" si="2"/>
        <v>0</v>
      </c>
      <c r="L161" s="33"/>
      <c r="M161" s="58">
        <f t="shared" si="3"/>
        <v>0</v>
      </c>
      <c r="N161" s="58" t="str">
        <f t="shared" si="4"/>
        <v/>
      </c>
      <c r="O161" s="33"/>
      <c r="P161" s="33"/>
      <c r="Q161" s="33"/>
      <c r="R161" s="33"/>
      <c r="S161" s="33"/>
      <c r="T161" s="33"/>
      <c r="U161" s="33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7">
        <v>150.0</v>
      </c>
      <c r="C162" s="33"/>
      <c r="D162" s="56" t="str">
        <f>IF(C162="", "", IF(VLOOKUP(C162, Referensi!$C$5:$E$11, 3, TRUE) &gt; 1, VLOOKUP(C162, Referensi!$C$5:$E$11, 3, TRUE) / 100, VLOOKUP(C162, Referensi!$C$5:$E$11, 3, TRUE)))</f>
        <v/>
      </c>
      <c r="E162" s="56" t="str">
        <f>IF(C162="", "", IF(VLOOKUP(C162, Referensi!$C$5:$F$11, 4, TRUE) &gt; 1, VLOOKUP(C162, Referensi!$C$5:$F$11, 4, TRUE) / 100, VLOOKUP(C162, Referensi!$C$5:$F$11, 4, TRUE)))</f>
        <v/>
      </c>
      <c r="F162" s="33"/>
      <c r="G162" s="8" t="str">
        <f t="shared" si="5"/>
        <v/>
      </c>
      <c r="H162" s="38" t="str">
        <f t="shared" si="6"/>
        <v/>
      </c>
      <c r="I162" s="8" t="str">
        <f t="shared" si="7"/>
        <v/>
      </c>
      <c r="J162" s="57">
        <f t="shared" si="1"/>
        <v>0</v>
      </c>
      <c r="K162" s="58">
        <f t="shared" si="2"/>
        <v>0</v>
      </c>
      <c r="L162" s="33"/>
      <c r="M162" s="58">
        <f t="shared" si="3"/>
        <v>0</v>
      </c>
      <c r="N162" s="58" t="str">
        <f t="shared" si="4"/>
        <v/>
      </c>
      <c r="O162" s="33"/>
      <c r="P162" s="33"/>
      <c r="Q162" s="33"/>
      <c r="R162" s="33"/>
      <c r="S162" s="33"/>
      <c r="T162" s="33"/>
      <c r="U162" s="33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7">
        <v>151.0</v>
      </c>
      <c r="C163" s="33"/>
      <c r="D163" s="56" t="str">
        <f>IF(C163="", "", IF(VLOOKUP(C163, Referensi!$C$5:$E$11, 3, TRUE) &gt; 1, VLOOKUP(C163, Referensi!$C$5:$E$11, 3, TRUE) / 100, VLOOKUP(C163, Referensi!$C$5:$E$11, 3, TRUE)))</f>
        <v/>
      </c>
      <c r="E163" s="56" t="str">
        <f>IF(C163="", "", IF(VLOOKUP(C163, Referensi!$C$5:$F$11, 4, TRUE) &gt; 1, VLOOKUP(C163, Referensi!$C$5:$F$11, 4, TRUE) / 100, VLOOKUP(C163, Referensi!$C$5:$F$11, 4, TRUE)))</f>
        <v/>
      </c>
      <c r="F163" s="33"/>
      <c r="G163" s="8" t="str">
        <f t="shared" si="5"/>
        <v/>
      </c>
      <c r="H163" s="38" t="str">
        <f t="shared" si="6"/>
        <v/>
      </c>
      <c r="I163" s="8" t="str">
        <f t="shared" si="7"/>
        <v/>
      </c>
      <c r="J163" s="57">
        <f t="shared" si="1"/>
        <v>0</v>
      </c>
      <c r="K163" s="58">
        <f t="shared" si="2"/>
        <v>0</v>
      </c>
      <c r="L163" s="33"/>
      <c r="M163" s="58">
        <f t="shared" si="3"/>
        <v>0</v>
      </c>
      <c r="N163" s="58" t="str">
        <f t="shared" si="4"/>
        <v/>
      </c>
      <c r="O163" s="33"/>
      <c r="P163" s="33"/>
      <c r="Q163" s="33"/>
      <c r="R163" s="33"/>
      <c r="S163" s="33"/>
      <c r="T163" s="33"/>
      <c r="U163" s="33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7">
        <v>152.0</v>
      </c>
      <c r="C164" s="33"/>
      <c r="D164" s="56" t="str">
        <f>IF(C164="", "", IF(VLOOKUP(C164, Referensi!$C$5:$E$11, 3, TRUE) &gt; 1, VLOOKUP(C164, Referensi!$C$5:$E$11, 3, TRUE) / 100, VLOOKUP(C164, Referensi!$C$5:$E$11, 3, TRUE)))</f>
        <v/>
      </c>
      <c r="E164" s="56" t="str">
        <f>IF(C164="", "", IF(VLOOKUP(C164, Referensi!$C$5:$F$11, 4, TRUE) &gt; 1, VLOOKUP(C164, Referensi!$C$5:$F$11, 4, TRUE) / 100, VLOOKUP(C164, Referensi!$C$5:$F$11, 4, TRUE)))</f>
        <v/>
      </c>
      <c r="F164" s="33"/>
      <c r="G164" s="8" t="str">
        <f t="shared" si="5"/>
        <v/>
      </c>
      <c r="H164" s="38" t="str">
        <f t="shared" si="6"/>
        <v/>
      </c>
      <c r="I164" s="8" t="str">
        <f t="shared" si="7"/>
        <v/>
      </c>
      <c r="J164" s="57">
        <f t="shared" si="1"/>
        <v>0</v>
      </c>
      <c r="K164" s="58">
        <f t="shared" si="2"/>
        <v>0</v>
      </c>
      <c r="L164" s="33"/>
      <c r="M164" s="58">
        <f t="shared" si="3"/>
        <v>0</v>
      </c>
      <c r="N164" s="58" t="str">
        <f t="shared" si="4"/>
        <v/>
      </c>
      <c r="O164" s="33"/>
      <c r="P164" s="33"/>
      <c r="Q164" s="33"/>
      <c r="R164" s="33"/>
      <c r="S164" s="33"/>
      <c r="T164" s="33"/>
      <c r="U164" s="33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8"/>
      <c r="L165" s="1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8"/>
      <c r="L166" s="1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8"/>
      <c r="L167" s="1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8"/>
      <c r="L168" s="1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8"/>
      <c r="L169" s="1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8"/>
      <c r="L170" s="1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8"/>
      <c r="L171" s="1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8"/>
      <c r="L172" s="1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8"/>
      <c r="L173" s="1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8"/>
      <c r="L174" s="1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8"/>
      <c r="L175" s="1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8"/>
      <c r="L176" s="1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8"/>
      <c r="L177" s="1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8"/>
      <c r="L178" s="1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8"/>
      <c r="L179" s="1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8"/>
      <c r="L180" s="1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8"/>
      <c r="L181" s="1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8"/>
      <c r="L182" s="1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8"/>
      <c r="L183" s="1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8"/>
      <c r="L184" s="1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8"/>
      <c r="L185" s="1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8"/>
      <c r="L186" s="1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8"/>
      <c r="L187" s="1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8"/>
      <c r="L188" s="1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8"/>
      <c r="L189" s="1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8"/>
      <c r="L190" s="1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8"/>
      <c r="L191" s="1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8"/>
      <c r="L192" s="1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8"/>
      <c r="L193" s="1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8"/>
      <c r="L194" s="1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8"/>
      <c r="L195" s="1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8"/>
      <c r="L196" s="1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8"/>
      <c r="L197" s="1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8"/>
      <c r="L198" s="1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8"/>
      <c r="L199" s="1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8"/>
      <c r="L200" s="1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8"/>
      <c r="L201" s="1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8"/>
      <c r="L202" s="1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8"/>
      <c r="L203" s="1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8"/>
      <c r="L204" s="1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8"/>
      <c r="L205" s="1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8"/>
      <c r="L206" s="1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8"/>
      <c r="L207" s="1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8"/>
      <c r="L208" s="1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8"/>
      <c r="L209" s="1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8"/>
      <c r="L210" s="1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8"/>
      <c r="L211" s="1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8"/>
      <c r="L212" s="1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8"/>
      <c r="L213" s="1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8"/>
      <c r="L214" s="1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8"/>
      <c r="L215" s="1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8"/>
      <c r="L216" s="1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8"/>
      <c r="L217" s="1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8"/>
      <c r="L218" s="1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8"/>
      <c r="L219" s="1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8"/>
      <c r="L220" s="1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8"/>
      <c r="L221" s="1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8"/>
      <c r="L222" s="1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8"/>
      <c r="L223" s="1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8"/>
      <c r="L224" s="1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8"/>
      <c r="L225" s="1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8"/>
      <c r="L226" s="1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8"/>
      <c r="L227" s="1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8"/>
      <c r="L228" s="1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8"/>
      <c r="L229" s="1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8"/>
      <c r="L230" s="1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8"/>
      <c r="L231" s="1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8"/>
      <c r="L232" s="1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8"/>
      <c r="L233" s="1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8"/>
      <c r="L234" s="1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8"/>
      <c r="L235" s="1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8"/>
      <c r="L236" s="1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8"/>
      <c r="L237" s="1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8"/>
      <c r="L238" s="1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8"/>
      <c r="L239" s="1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8"/>
      <c r="L240" s="1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8"/>
      <c r="L241" s="1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8"/>
      <c r="L242" s="1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8"/>
      <c r="L243" s="1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8"/>
      <c r="L244" s="1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8"/>
      <c r="L245" s="1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8"/>
      <c r="L246" s="1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8"/>
      <c r="L247" s="1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8"/>
      <c r="L248" s="1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8"/>
      <c r="L249" s="1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8"/>
      <c r="L250" s="1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8"/>
      <c r="L251" s="1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8"/>
      <c r="L252" s="1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8"/>
      <c r="L253" s="1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8"/>
      <c r="L254" s="1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8"/>
      <c r="L255" s="1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8"/>
      <c r="L256" s="1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8"/>
      <c r="L257" s="1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8"/>
      <c r="L258" s="1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8"/>
      <c r="L259" s="1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8"/>
      <c r="L260" s="1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8"/>
      <c r="L261" s="1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8"/>
      <c r="L262" s="1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8"/>
      <c r="L263" s="1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8"/>
      <c r="L264" s="1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8"/>
      <c r="L265" s="1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8"/>
      <c r="L266" s="1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8"/>
      <c r="L267" s="1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8"/>
      <c r="L268" s="1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8"/>
      <c r="L269" s="1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8"/>
      <c r="L270" s="1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8"/>
      <c r="L271" s="1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8"/>
      <c r="L272" s="1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8"/>
      <c r="L273" s="1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8"/>
      <c r="L274" s="1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8"/>
      <c r="L275" s="1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8"/>
      <c r="L276" s="1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8"/>
      <c r="L277" s="1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8"/>
      <c r="L278" s="1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8"/>
      <c r="L279" s="1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8"/>
      <c r="L280" s="1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8"/>
      <c r="L281" s="1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8"/>
      <c r="L282" s="1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8"/>
      <c r="L283" s="1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8"/>
      <c r="L284" s="1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8"/>
      <c r="L285" s="1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8"/>
      <c r="L286" s="1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8"/>
      <c r="L287" s="1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8"/>
      <c r="L288" s="1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8"/>
      <c r="L289" s="1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8"/>
      <c r="L290" s="1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8"/>
      <c r="L291" s="1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8"/>
      <c r="L292" s="1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8"/>
      <c r="L293" s="1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8"/>
      <c r="L294" s="1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8"/>
      <c r="L295" s="1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8"/>
      <c r="L296" s="1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8"/>
      <c r="L297" s="1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8"/>
      <c r="L298" s="1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8"/>
      <c r="L299" s="1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8"/>
      <c r="L300" s="1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8"/>
      <c r="L301" s="1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8"/>
      <c r="L302" s="1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8"/>
      <c r="L303" s="1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8"/>
      <c r="L304" s="1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8"/>
      <c r="L305" s="1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8"/>
      <c r="L306" s="1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8"/>
      <c r="L307" s="1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8"/>
      <c r="L308" s="1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8"/>
      <c r="L309" s="1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8"/>
      <c r="L310" s="1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8"/>
      <c r="L311" s="1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8"/>
      <c r="L312" s="1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8"/>
      <c r="L313" s="1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8"/>
      <c r="L314" s="1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8"/>
      <c r="L315" s="1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8"/>
      <c r="L316" s="1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8"/>
      <c r="L317" s="1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8"/>
      <c r="L318" s="1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8"/>
      <c r="L319" s="1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8"/>
      <c r="L320" s="1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8"/>
      <c r="L321" s="1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8"/>
      <c r="L322" s="1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8"/>
      <c r="L323" s="1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8"/>
      <c r="L324" s="1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8"/>
      <c r="L325" s="1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8"/>
      <c r="L326" s="1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8"/>
      <c r="L327" s="1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8"/>
      <c r="L328" s="1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8"/>
      <c r="L329" s="1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8"/>
      <c r="L330" s="1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8"/>
      <c r="L331" s="1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8"/>
      <c r="L332" s="1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8"/>
      <c r="L333" s="1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8"/>
      <c r="L334" s="1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8"/>
      <c r="L335" s="1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8"/>
      <c r="L336" s="1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8"/>
      <c r="L337" s="1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8"/>
      <c r="L338" s="1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8"/>
      <c r="L339" s="1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8"/>
      <c r="L340" s="1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8"/>
      <c r="L341" s="1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8"/>
      <c r="L342" s="1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8"/>
      <c r="L343" s="1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8"/>
      <c r="L344" s="1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8"/>
      <c r="L345" s="1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8"/>
      <c r="L346" s="1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8"/>
      <c r="L347" s="1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8"/>
      <c r="L348" s="1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8"/>
      <c r="L349" s="1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8"/>
      <c r="L350" s="1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8"/>
      <c r="L351" s="1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8"/>
      <c r="L352" s="1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8"/>
      <c r="L353" s="1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8"/>
      <c r="L354" s="1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8"/>
      <c r="L355" s="1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8"/>
      <c r="L356" s="1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8"/>
      <c r="L357" s="1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8"/>
      <c r="L358" s="1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8"/>
      <c r="L359" s="1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8"/>
      <c r="L360" s="1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8"/>
      <c r="L361" s="1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8"/>
      <c r="L362" s="1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8"/>
      <c r="L363" s="1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8"/>
      <c r="L364" s="1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8"/>
      <c r="L365" s="1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8"/>
      <c r="L366" s="1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8"/>
      <c r="L367" s="1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8"/>
      <c r="L368" s="1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8"/>
      <c r="L369" s="1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8"/>
      <c r="L370" s="1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8"/>
      <c r="L371" s="1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8"/>
      <c r="L372" s="1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8"/>
      <c r="L373" s="1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8"/>
      <c r="L374" s="1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8"/>
      <c r="L375" s="1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8"/>
      <c r="L376" s="1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8"/>
      <c r="L377" s="1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8"/>
      <c r="L378" s="1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8"/>
      <c r="L379" s="1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8"/>
      <c r="L380" s="1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8"/>
      <c r="L381" s="1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8"/>
      <c r="L382" s="1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8"/>
      <c r="L383" s="1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8"/>
      <c r="L384" s="1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8"/>
      <c r="L385" s="1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8"/>
      <c r="L386" s="1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8"/>
      <c r="L387" s="1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8"/>
      <c r="L388" s="1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8"/>
      <c r="L389" s="1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8"/>
      <c r="L390" s="1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8"/>
      <c r="L391" s="1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8"/>
      <c r="L392" s="1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8"/>
      <c r="L393" s="1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8"/>
      <c r="L394" s="1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8"/>
      <c r="L395" s="1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8"/>
      <c r="L396" s="1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8"/>
      <c r="L397" s="1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8"/>
      <c r="L398" s="1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8"/>
      <c r="L399" s="1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8"/>
      <c r="L400" s="1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8"/>
      <c r="L401" s="1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8"/>
      <c r="L402" s="1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8"/>
      <c r="L403" s="1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8"/>
      <c r="L404" s="1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8"/>
      <c r="L405" s="1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8"/>
      <c r="L406" s="1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8"/>
      <c r="L407" s="1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8"/>
      <c r="L408" s="1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8"/>
      <c r="L409" s="1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8"/>
      <c r="L410" s="1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8"/>
      <c r="L411" s="1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8"/>
      <c r="L412" s="1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8"/>
      <c r="L413" s="1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8"/>
      <c r="L414" s="1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8"/>
      <c r="L415" s="1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8"/>
      <c r="L416" s="1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8"/>
      <c r="L417" s="1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8"/>
      <c r="L418" s="1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8"/>
      <c r="L419" s="1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8"/>
      <c r="L420" s="1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8"/>
      <c r="L421" s="1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8"/>
      <c r="L422" s="1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8"/>
      <c r="L423" s="1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8"/>
      <c r="L424" s="1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8"/>
      <c r="L425" s="1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8"/>
      <c r="L426" s="1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8"/>
      <c r="L427" s="1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8"/>
      <c r="L428" s="1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8"/>
      <c r="L429" s="1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8"/>
      <c r="L430" s="1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8"/>
      <c r="L431" s="1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8"/>
      <c r="L432" s="1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8"/>
      <c r="L433" s="1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8"/>
      <c r="L434" s="1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8"/>
      <c r="L435" s="1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8"/>
      <c r="L436" s="1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8"/>
      <c r="L437" s="1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8"/>
      <c r="L438" s="1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8"/>
      <c r="L439" s="1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8"/>
      <c r="L440" s="1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8"/>
      <c r="L441" s="1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8"/>
      <c r="L442" s="1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8"/>
      <c r="L443" s="1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8"/>
      <c r="L444" s="1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8"/>
      <c r="L445" s="1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8"/>
      <c r="L446" s="1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8"/>
      <c r="L447" s="1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8"/>
      <c r="L448" s="1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8"/>
      <c r="L449" s="1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8"/>
      <c r="L450" s="1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8"/>
      <c r="L451" s="1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8"/>
      <c r="L452" s="1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8"/>
      <c r="L453" s="1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8"/>
      <c r="L454" s="1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8"/>
      <c r="L455" s="1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8"/>
      <c r="L456" s="1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8"/>
      <c r="L457" s="1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8"/>
      <c r="L458" s="1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8"/>
      <c r="L459" s="1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8"/>
      <c r="L460" s="1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8"/>
      <c r="L461" s="1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8"/>
      <c r="L462" s="1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8"/>
      <c r="L463" s="1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8"/>
      <c r="L464" s="1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8"/>
      <c r="L465" s="1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8"/>
      <c r="L466" s="1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8"/>
      <c r="L467" s="1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8"/>
      <c r="L468" s="1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8"/>
      <c r="L469" s="1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8"/>
      <c r="L470" s="1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8"/>
      <c r="L471" s="1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8"/>
      <c r="L472" s="1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8"/>
      <c r="L473" s="1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8"/>
      <c r="L474" s="1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8"/>
      <c r="L475" s="1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8"/>
      <c r="L476" s="1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8"/>
      <c r="L477" s="1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8"/>
      <c r="L478" s="1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8"/>
      <c r="L479" s="1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8"/>
      <c r="L480" s="1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8"/>
      <c r="L481" s="1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8"/>
      <c r="L482" s="1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8"/>
      <c r="L483" s="1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8"/>
      <c r="L484" s="1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8"/>
      <c r="L485" s="1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8"/>
      <c r="L486" s="1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8"/>
      <c r="L487" s="1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8"/>
      <c r="L488" s="1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8"/>
      <c r="L489" s="1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8"/>
      <c r="L490" s="1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8"/>
      <c r="L491" s="1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8"/>
      <c r="L492" s="1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8"/>
      <c r="L493" s="1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8"/>
      <c r="L494" s="1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8"/>
      <c r="L495" s="1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8"/>
      <c r="L496" s="1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8"/>
      <c r="L497" s="1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8"/>
      <c r="L498" s="1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8"/>
      <c r="L499" s="1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8"/>
      <c r="L500" s="1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8"/>
      <c r="L501" s="1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8"/>
      <c r="L502" s="1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8"/>
      <c r="L503" s="1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8"/>
      <c r="L504" s="1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8"/>
      <c r="L505" s="1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8"/>
      <c r="L506" s="1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8"/>
      <c r="L507" s="1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8"/>
      <c r="L508" s="1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8"/>
      <c r="L509" s="1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8"/>
      <c r="L510" s="1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8"/>
      <c r="L511" s="1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8"/>
      <c r="L512" s="1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8"/>
      <c r="L513" s="1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8"/>
      <c r="L514" s="1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8"/>
      <c r="L515" s="1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8"/>
      <c r="L516" s="1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8"/>
      <c r="L517" s="1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8"/>
      <c r="L518" s="1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8"/>
      <c r="L519" s="1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8"/>
      <c r="L520" s="1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8"/>
      <c r="L521" s="1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8"/>
      <c r="L522" s="1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8"/>
      <c r="L523" s="1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8"/>
      <c r="L524" s="1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8"/>
      <c r="L525" s="1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8"/>
      <c r="L526" s="1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8"/>
      <c r="L527" s="1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8"/>
      <c r="L528" s="1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8"/>
      <c r="L529" s="1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8"/>
      <c r="L530" s="1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8"/>
      <c r="L531" s="1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8"/>
      <c r="L532" s="1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8"/>
      <c r="L533" s="1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8"/>
      <c r="L534" s="1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8"/>
      <c r="L535" s="1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8"/>
      <c r="L536" s="1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8"/>
      <c r="L537" s="1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8"/>
      <c r="L538" s="1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8"/>
      <c r="L539" s="1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8"/>
      <c r="L540" s="1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8"/>
      <c r="L541" s="1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8"/>
      <c r="L542" s="1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8"/>
      <c r="L543" s="1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8"/>
      <c r="L544" s="1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8"/>
      <c r="L545" s="1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8"/>
      <c r="L546" s="1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8"/>
      <c r="L547" s="1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8"/>
      <c r="L548" s="1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8"/>
      <c r="L549" s="1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8"/>
      <c r="L550" s="1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8"/>
      <c r="L551" s="1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8"/>
      <c r="L552" s="1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8"/>
      <c r="L553" s="1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8"/>
      <c r="L554" s="1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8"/>
      <c r="L555" s="1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8"/>
      <c r="L556" s="1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8"/>
      <c r="L557" s="1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8"/>
      <c r="L558" s="1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8"/>
      <c r="L559" s="1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8"/>
      <c r="L560" s="1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8"/>
      <c r="L561" s="1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8"/>
      <c r="L562" s="1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8"/>
      <c r="L563" s="1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8"/>
      <c r="L564" s="1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8"/>
      <c r="L565" s="1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8"/>
      <c r="L566" s="1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8"/>
      <c r="L567" s="1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8"/>
      <c r="L568" s="1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8"/>
      <c r="L569" s="1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8"/>
      <c r="L570" s="1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8"/>
      <c r="L571" s="1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8"/>
      <c r="L572" s="1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8"/>
      <c r="L573" s="1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8"/>
      <c r="L574" s="1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8"/>
      <c r="L575" s="1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8"/>
      <c r="L576" s="1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8"/>
      <c r="L577" s="1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8"/>
      <c r="L578" s="1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8"/>
      <c r="L579" s="1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8"/>
      <c r="L580" s="1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8"/>
      <c r="L581" s="1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8"/>
      <c r="L582" s="1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8"/>
      <c r="L583" s="1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8"/>
      <c r="L584" s="1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8"/>
      <c r="L585" s="1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8"/>
      <c r="L586" s="1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8"/>
      <c r="L587" s="1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8"/>
      <c r="L588" s="1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8"/>
      <c r="L589" s="1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8"/>
      <c r="L590" s="1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8"/>
      <c r="L591" s="1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8"/>
      <c r="L592" s="1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8"/>
      <c r="L593" s="1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8"/>
      <c r="L594" s="1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8"/>
      <c r="L595" s="1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8"/>
      <c r="L596" s="1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8"/>
      <c r="L597" s="1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8"/>
      <c r="L598" s="1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8"/>
      <c r="L599" s="1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8"/>
      <c r="L600" s="1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8"/>
      <c r="L601" s="1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8"/>
      <c r="L602" s="1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8"/>
      <c r="L603" s="1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8"/>
      <c r="L604" s="1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8"/>
      <c r="L605" s="1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8"/>
      <c r="L606" s="1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8"/>
      <c r="L607" s="1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8"/>
      <c r="L608" s="1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8"/>
      <c r="L609" s="1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8"/>
      <c r="L610" s="1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8"/>
      <c r="L611" s="1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8"/>
      <c r="L612" s="1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8"/>
      <c r="L613" s="1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8"/>
      <c r="L614" s="1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8"/>
      <c r="L615" s="1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8"/>
      <c r="L616" s="1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8"/>
      <c r="L617" s="1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8"/>
      <c r="L618" s="1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8"/>
      <c r="L619" s="1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8"/>
      <c r="L620" s="1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8"/>
      <c r="L621" s="1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8"/>
      <c r="L622" s="1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8"/>
      <c r="L623" s="1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8"/>
      <c r="L624" s="1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8"/>
      <c r="L625" s="1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8"/>
      <c r="L626" s="1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8"/>
      <c r="L627" s="1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8"/>
      <c r="L628" s="1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8"/>
      <c r="L629" s="1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8"/>
      <c r="L630" s="1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8"/>
      <c r="L631" s="1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8"/>
      <c r="L632" s="1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8"/>
      <c r="L633" s="1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8"/>
      <c r="L634" s="1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8"/>
      <c r="L635" s="1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8"/>
      <c r="L636" s="1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8"/>
      <c r="L637" s="1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8"/>
      <c r="L638" s="1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8"/>
      <c r="L639" s="1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8"/>
      <c r="L640" s="1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8"/>
      <c r="L641" s="1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8"/>
      <c r="L642" s="1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8"/>
      <c r="L643" s="1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8"/>
      <c r="L644" s="1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8"/>
      <c r="L645" s="1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8"/>
      <c r="L646" s="1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8"/>
      <c r="L647" s="1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8"/>
      <c r="L648" s="1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8"/>
      <c r="L649" s="1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8"/>
      <c r="L650" s="1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8"/>
      <c r="L651" s="1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8"/>
      <c r="L652" s="1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8"/>
      <c r="L653" s="1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8"/>
      <c r="L654" s="1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8"/>
      <c r="L655" s="1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8"/>
      <c r="L656" s="1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8"/>
      <c r="L657" s="1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8"/>
      <c r="L658" s="1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8"/>
      <c r="L659" s="1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8"/>
      <c r="L660" s="1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8"/>
      <c r="L661" s="1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8"/>
      <c r="L662" s="1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8"/>
      <c r="L663" s="1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8"/>
      <c r="L664" s="1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8"/>
      <c r="L665" s="1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8"/>
      <c r="L666" s="1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8"/>
      <c r="L667" s="1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8"/>
      <c r="L668" s="1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8"/>
      <c r="L669" s="1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8"/>
      <c r="L670" s="1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8"/>
      <c r="L671" s="1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8"/>
      <c r="L672" s="1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8"/>
      <c r="L673" s="1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8"/>
      <c r="L674" s="1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8"/>
      <c r="L675" s="1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8"/>
      <c r="L676" s="1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8"/>
      <c r="L677" s="1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8"/>
      <c r="L678" s="1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8"/>
      <c r="L679" s="1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8"/>
      <c r="L680" s="1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8"/>
      <c r="L681" s="1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8"/>
      <c r="L682" s="1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8"/>
      <c r="L683" s="1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8"/>
      <c r="L684" s="1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8"/>
      <c r="L685" s="1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8"/>
      <c r="L686" s="1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8"/>
      <c r="L687" s="1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8"/>
      <c r="L688" s="1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8"/>
      <c r="L689" s="1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8"/>
      <c r="L690" s="1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8"/>
      <c r="L691" s="1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8"/>
      <c r="L692" s="1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8"/>
      <c r="L693" s="1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8"/>
      <c r="L694" s="1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8"/>
      <c r="L695" s="1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8"/>
      <c r="L696" s="1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8"/>
      <c r="L697" s="1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8"/>
      <c r="L698" s="1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8"/>
      <c r="L699" s="1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8"/>
      <c r="L700" s="1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8"/>
      <c r="L701" s="1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8"/>
      <c r="L702" s="1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8"/>
      <c r="L703" s="1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8"/>
      <c r="L704" s="1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8"/>
      <c r="L705" s="1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8"/>
      <c r="L706" s="1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8"/>
      <c r="L707" s="1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8"/>
      <c r="L708" s="1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8"/>
      <c r="L709" s="1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8"/>
      <c r="L710" s="1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8"/>
      <c r="L711" s="1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8"/>
      <c r="L712" s="1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8"/>
      <c r="L713" s="1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8"/>
      <c r="L714" s="1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8"/>
      <c r="L715" s="1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8"/>
      <c r="L716" s="1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8"/>
      <c r="L717" s="1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8"/>
      <c r="L718" s="1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8"/>
      <c r="L719" s="1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8"/>
      <c r="L720" s="1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8"/>
      <c r="L721" s="1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8"/>
      <c r="L722" s="1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8"/>
      <c r="L723" s="1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8"/>
      <c r="L724" s="1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8"/>
      <c r="L725" s="1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8"/>
      <c r="L726" s="1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8"/>
      <c r="L727" s="1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8"/>
      <c r="L728" s="1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8"/>
      <c r="L729" s="1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8"/>
      <c r="L730" s="1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8"/>
      <c r="L731" s="1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8"/>
      <c r="L732" s="1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8"/>
      <c r="L733" s="1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8"/>
      <c r="L734" s="1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8"/>
      <c r="L735" s="1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8"/>
      <c r="L736" s="1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8"/>
      <c r="L737" s="1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8"/>
      <c r="L738" s="1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8"/>
      <c r="L739" s="1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8"/>
      <c r="L740" s="1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8"/>
      <c r="L741" s="1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8"/>
      <c r="L742" s="1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8"/>
      <c r="L743" s="1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8"/>
      <c r="L744" s="1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8"/>
      <c r="L745" s="1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8"/>
      <c r="L746" s="1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8"/>
      <c r="L747" s="1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8"/>
      <c r="L748" s="1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8"/>
      <c r="L749" s="1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8"/>
      <c r="L750" s="1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8"/>
      <c r="L751" s="1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8"/>
      <c r="L752" s="1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8"/>
      <c r="L753" s="1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8"/>
      <c r="L754" s="1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8"/>
      <c r="L755" s="1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8"/>
      <c r="L756" s="1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8"/>
      <c r="L757" s="1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8"/>
      <c r="L758" s="1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8"/>
      <c r="L759" s="1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8"/>
      <c r="L760" s="1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8"/>
      <c r="L761" s="1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8"/>
      <c r="L762" s="1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8"/>
      <c r="L763" s="1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8"/>
      <c r="L764" s="1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8"/>
      <c r="L765" s="1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8"/>
      <c r="L766" s="1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8"/>
      <c r="L767" s="1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8"/>
      <c r="L768" s="1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8"/>
      <c r="L769" s="1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8"/>
      <c r="L770" s="1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8"/>
      <c r="L771" s="1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8"/>
      <c r="L772" s="1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8"/>
      <c r="L773" s="1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8"/>
      <c r="L774" s="1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8"/>
      <c r="L775" s="1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8"/>
      <c r="L776" s="1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8"/>
      <c r="L777" s="1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8"/>
      <c r="L778" s="1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8"/>
      <c r="L779" s="1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8"/>
      <c r="L780" s="1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8"/>
      <c r="L781" s="1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8"/>
      <c r="L782" s="1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8"/>
      <c r="L783" s="1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8"/>
      <c r="L784" s="1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8"/>
      <c r="L785" s="1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8"/>
      <c r="L786" s="1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8"/>
      <c r="L787" s="1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8"/>
      <c r="L788" s="1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8"/>
      <c r="L789" s="1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8"/>
      <c r="L790" s="1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8"/>
      <c r="L791" s="1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8"/>
      <c r="L792" s="1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8"/>
      <c r="L793" s="1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8"/>
      <c r="L794" s="1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8"/>
      <c r="L795" s="1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8"/>
      <c r="L796" s="1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8"/>
      <c r="L797" s="1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8"/>
      <c r="L798" s="1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8"/>
      <c r="L799" s="1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8"/>
      <c r="L800" s="1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8"/>
      <c r="L801" s="1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8"/>
      <c r="L802" s="1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8"/>
      <c r="L803" s="1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8"/>
      <c r="L804" s="1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8"/>
      <c r="L805" s="1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8"/>
      <c r="L806" s="1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8"/>
      <c r="L807" s="1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8"/>
      <c r="L808" s="1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8"/>
      <c r="L809" s="1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8"/>
      <c r="L810" s="1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8"/>
      <c r="L811" s="1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8"/>
      <c r="L812" s="1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8"/>
      <c r="L813" s="1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8"/>
      <c r="L814" s="1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8"/>
      <c r="L815" s="1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8"/>
      <c r="L816" s="1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8"/>
      <c r="L817" s="1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8"/>
      <c r="L818" s="1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8"/>
      <c r="L819" s="1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8"/>
      <c r="L820" s="1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8"/>
      <c r="L821" s="1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8"/>
      <c r="L822" s="1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8"/>
      <c r="L823" s="1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8"/>
      <c r="L824" s="1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8"/>
      <c r="L825" s="1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8"/>
      <c r="L826" s="1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8"/>
      <c r="L827" s="1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8"/>
      <c r="L828" s="1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8"/>
      <c r="L829" s="1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8"/>
      <c r="L830" s="1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8"/>
      <c r="L831" s="1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8"/>
      <c r="L832" s="1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8"/>
      <c r="L833" s="1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8"/>
      <c r="L834" s="1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8"/>
      <c r="L835" s="1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8"/>
      <c r="L836" s="1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8"/>
      <c r="L837" s="1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8"/>
      <c r="L838" s="1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8"/>
      <c r="L839" s="1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8"/>
      <c r="L840" s="1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8"/>
      <c r="L841" s="1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8"/>
      <c r="L842" s="1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8"/>
      <c r="L843" s="1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8"/>
      <c r="L844" s="1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8"/>
      <c r="L845" s="1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8"/>
      <c r="L846" s="1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8"/>
      <c r="L847" s="1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8"/>
      <c r="L848" s="1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8"/>
      <c r="L849" s="1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8"/>
      <c r="L850" s="1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8"/>
      <c r="L851" s="1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8"/>
      <c r="L852" s="1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8"/>
      <c r="L853" s="1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8"/>
      <c r="L854" s="1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8"/>
      <c r="L855" s="1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8"/>
      <c r="L856" s="1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8"/>
      <c r="L857" s="1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8"/>
      <c r="L858" s="1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8"/>
      <c r="L859" s="1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8"/>
      <c r="L860" s="1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8"/>
      <c r="L861" s="1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8"/>
      <c r="L862" s="1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8"/>
      <c r="L863" s="1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8"/>
      <c r="L864" s="1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8"/>
      <c r="L865" s="1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8"/>
      <c r="L866" s="1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8"/>
      <c r="L867" s="1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8"/>
      <c r="L868" s="1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8"/>
      <c r="L869" s="1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8"/>
      <c r="L870" s="1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8"/>
      <c r="L871" s="1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8"/>
      <c r="L872" s="1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8"/>
      <c r="L873" s="1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8"/>
      <c r="L874" s="1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8"/>
      <c r="L875" s="1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8"/>
      <c r="L876" s="1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8"/>
      <c r="L877" s="1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8"/>
      <c r="L878" s="1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8"/>
      <c r="L879" s="1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8"/>
      <c r="L880" s="1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8"/>
      <c r="L881" s="1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8"/>
      <c r="L882" s="1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8"/>
      <c r="L883" s="1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8"/>
      <c r="L884" s="1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8"/>
      <c r="L885" s="1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8"/>
      <c r="L886" s="1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8"/>
      <c r="L887" s="1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8"/>
      <c r="L888" s="1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8"/>
      <c r="L889" s="1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8"/>
      <c r="L890" s="1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8"/>
      <c r="L891" s="1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8"/>
      <c r="L892" s="1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8"/>
      <c r="L893" s="1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8"/>
      <c r="L894" s="1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8"/>
      <c r="L895" s="1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8"/>
      <c r="L896" s="1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8"/>
      <c r="L897" s="1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8"/>
      <c r="L898" s="1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8"/>
      <c r="L899" s="1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8"/>
      <c r="L900" s="1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8"/>
      <c r="L901" s="1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8"/>
      <c r="L902" s="1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8"/>
      <c r="L903" s="1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8"/>
      <c r="L904" s="1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8"/>
      <c r="L905" s="1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8"/>
      <c r="L906" s="1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8"/>
      <c r="L907" s="1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8"/>
      <c r="L908" s="1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8"/>
      <c r="L909" s="1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8"/>
      <c r="L910" s="1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8"/>
      <c r="L911" s="1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8"/>
      <c r="L912" s="1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8"/>
      <c r="L913" s="1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8"/>
      <c r="L914" s="1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8"/>
      <c r="L915" s="1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8"/>
      <c r="L916" s="1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8"/>
      <c r="L917" s="1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8"/>
      <c r="L918" s="1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8"/>
      <c r="L919" s="1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8"/>
      <c r="L920" s="1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8"/>
      <c r="L921" s="1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8"/>
      <c r="L922" s="1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8"/>
      <c r="L923" s="1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8"/>
      <c r="L924" s="1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8"/>
      <c r="L925" s="1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8"/>
      <c r="L926" s="1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8"/>
      <c r="L927" s="1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8"/>
      <c r="L928" s="1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8"/>
      <c r="L929" s="1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8"/>
      <c r="L930" s="1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8"/>
      <c r="L931" s="1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8"/>
      <c r="L932" s="1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8"/>
      <c r="L933" s="1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8"/>
      <c r="L934" s="1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8"/>
      <c r="L935" s="1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8"/>
      <c r="L936" s="1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8"/>
      <c r="L937" s="1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8"/>
      <c r="L938" s="1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8"/>
      <c r="L939" s="1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8"/>
      <c r="L940" s="1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8"/>
      <c r="L941" s="1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8"/>
      <c r="L942" s="1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8"/>
      <c r="L943" s="1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8"/>
      <c r="L944" s="1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8"/>
      <c r="L945" s="1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8"/>
      <c r="L946" s="1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8"/>
      <c r="L947" s="1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8"/>
      <c r="L948" s="1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8"/>
      <c r="L949" s="1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8"/>
      <c r="L950" s="1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8"/>
      <c r="L951" s="1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8"/>
      <c r="L952" s="1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8"/>
      <c r="L953" s="1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8"/>
      <c r="L954" s="1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8"/>
      <c r="L955" s="1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8"/>
      <c r="L956" s="1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8"/>
      <c r="L957" s="1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8"/>
      <c r="L958" s="1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8"/>
      <c r="L959" s="1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8"/>
      <c r="L960" s="1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8"/>
      <c r="L961" s="1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8"/>
      <c r="L962" s="1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8"/>
      <c r="L963" s="1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8"/>
      <c r="L964" s="1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8"/>
      <c r="L965" s="1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8"/>
      <c r="L966" s="1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8"/>
      <c r="L967" s="1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8"/>
      <c r="L968" s="1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8"/>
      <c r="L969" s="1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8"/>
      <c r="L970" s="1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8"/>
      <c r="L971" s="1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8"/>
      <c r="L972" s="1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8"/>
      <c r="L973" s="1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8"/>
      <c r="L974" s="1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8"/>
      <c r="L975" s="1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8"/>
      <c r="L976" s="1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8"/>
      <c r="L977" s="1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8"/>
      <c r="L978" s="1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8"/>
      <c r="L979" s="1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8"/>
      <c r="L980" s="1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8"/>
      <c r="L981" s="1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8"/>
      <c r="L982" s="1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8"/>
      <c r="L983" s="1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8"/>
      <c r="L984" s="1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8"/>
      <c r="L985" s="1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8"/>
      <c r="L986" s="1"/>
      <c r="M986" s="2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8"/>
      <c r="L987" s="1"/>
      <c r="M987" s="2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8"/>
      <c r="L988" s="1"/>
      <c r="M988" s="2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8"/>
      <c r="L989" s="1"/>
      <c r="M989" s="2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8"/>
      <c r="L990" s="1"/>
      <c r="M990" s="2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8"/>
      <c r="L991" s="1"/>
      <c r="M991" s="2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8"/>
      <c r="L992" s="1"/>
      <c r="M992" s="2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8"/>
      <c r="L993" s="1"/>
      <c r="M993" s="2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8"/>
      <c r="L994" s="1"/>
      <c r="M994" s="2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8"/>
      <c r="L995" s="1"/>
      <c r="M995" s="2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8"/>
      <c r="L996" s="1"/>
      <c r="M996" s="2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8"/>
      <c r="L997" s="1"/>
      <c r="M997" s="2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8"/>
      <c r="L998" s="1"/>
      <c r="M998" s="2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8"/>
      <c r="L999" s="1"/>
      <c r="M999" s="2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8"/>
      <c r="L1000" s="1"/>
      <c r="M1000" s="2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27"/>
      <c r="I1001" s="27"/>
      <c r="J1001" s="1"/>
      <c r="K1001" s="28"/>
      <c r="L1001" s="1"/>
      <c r="M1001" s="28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27"/>
      <c r="I1002" s="27"/>
      <c r="J1002" s="1"/>
      <c r="K1002" s="28"/>
      <c r="L1002" s="1"/>
      <c r="M1002" s="28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27"/>
      <c r="I1003" s="27"/>
      <c r="J1003" s="1"/>
      <c r="K1003" s="28"/>
      <c r="L1003" s="1"/>
      <c r="M1003" s="28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27"/>
      <c r="I1004" s="27"/>
      <c r="J1004" s="1"/>
      <c r="K1004" s="28"/>
      <c r="L1004" s="1"/>
      <c r="M1004" s="28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27"/>
      <c r="I1005" s="27"/>
      <c r="J1005" s="1"/>
      <c r="K1005" s="28"/>
      <c r="L1005" s="1"/>
      <c r="M1005" s="28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27"/>
      <c r="I1006" s="27"/>
      <c r="J1006" s="1"/>
      <c r="K1006" s="28"/>
      <c r="L1006" s="1"/>
      <c r="M1006" s="28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27"/>
      <c r="I1007" s="27"/>
      <c r="J1007" s="1"/>
      <c r="K1007" s="28"/>
      <c r="L1007" s="1"/>
      <c r="M1007" s="28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27"/>
      <c r="I1008" s="27"/>
      <c r="J1008" s="1"/>
      <c r="K1008" s="28"/>
      <c r="L1008" s="1"/>
      <c r="M1008" s="28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27"/>
      <c r="I1009" s="27"/>
      <c r="J1009" s="1"/>
      <c r="K1009" s="28"/>
      <c r="L1009" s="1"/>
      <c r="M1009" s="28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</sheetData>
  <mergeCells count="24">
    <mergeCell ref="B2:D2"/>
    <mergeCell ref="J2:K2"/>
    <mergeCell ref="B4:C4"/>
    <mergeCell ref="B5:C5"/>
    <mergeCell ref="B6:C6"/>
    <mergeCell ref="B7:C7"/>
    <mergeCell ref="B8:C8"/>
    <mergeCell ref="B10:B11"/>
    <mergeCell ref="C10:C11"/>
    <mergeCell ref="D10:E10"/>
    <mergeCell ref="F10:F11"/>
    <mergeCell ref="G10:G11"/>
    <mergeCell ref="H10:H11"/>
    <mergeCell ref="I10:I11"/>
    <mergeCell ref="S10:S11"/>
    <mergeCell ref="T10:T11"/>
    <mergeCell ref="U10:U11"/>
    <mergeCell ref="J10:K10"/>
    <mergeCell ref="L10:M10"/>
    <mergeCell ref="N10:N11"/>
    <mergeCell ref="O10:O11"/>
    <mergeCell ref="P10:P11"/>
    <mergeCell ref="Q10:Q11"/>
    <mergeCell ref="R10:R1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4" width="3.0"/>
    <col customWidth="1" min="5" max="6" width="3.13"/>
    <col customWidth="1" min="7" max="8" width="3.0"/>
    <col customWidth="1" min="9" max="10" width="3.13"/>
    <col customWidth="1" min="11" max="11" width="8.38"/>
    <col customWidth="1" min="12" max="12" width="3.75"/>
    <col customWidth="1" min="13" max="13" width="3.0"/>
    <col customWidth="1" min="14" max="14" width="3.75"/>
    <col customWidth="1" min="15" max="15" width="3.13"/>
    <col customWidth="1" min="16" max="17" width="3.75"/>
    <col customWidth="1" min="18" max="19" width="3.13"/>
  </cols>
  <sheetData>
    <row r="1">
      <c r="L1" s="95" t="s">
        <v>101</v>
      </c>
      <c r="M1" s="5"/>
      <c r="N1" s="5"/>
      <c r="O1" s="5"/>
      <c r="P1" s="5"/>
      <c r="Q1" s="5"/>
      <c r="R1" s="5"/>
      <c r="S1" s="6"/>
    </row>
    <row r="2">
      <c r="C2" s="96" t="s">
        <v>12</v>
      </c>
      <c r="D2" s="96" t="s">
        <v>13</v>
      </c>
      <c r="E2" s="96" t="s">
        <v>14</v>
      </c>
      <c r="F2" s="96" t="s">
        <v>102</v>
      </c>
      <c r="G2" s="96" t="s">
        <v>16</v>
      </c>
      <c r="H2" s="96" t="s">
        <v>17</v>
      </c>
      <c r="I2" s="96" t="s">
        <v>18</v>
      </c>
      <c r="J2" s="96" t="s">
        <v>19</v>
      </c>
      <c r="K2" s="97"/>
      <c r="L2" s="98" t="s">
        <v>12</v>
      </c>
      <c r="M2" s="98" t="s">
        <v>13</v>
      </c>
      <c r="N2" s="98" t="s">
        <v>14</v>
      </c>
      <c r="O2" s="98" t="s">
        <v>102</v>
      </c>
      <c r="P2" s="98" t="s">
        <v>16</v>
      </c>
      <c r="Q2" s="98" t="s">
        <v>17</v>
      </c>
      <c r="R2" s="98" t="s">
        <v>18</v>
      </c>
      <c r="S2" s="98" t="s">
        <v>19</v>
      </c>
    </row>
    <row r="3">
      <c r="B3" s="99">
        <f>'Kolam A3'!A13</f>
        <v>46285</v>
      </c>
      <c r="C3" s="100">
        <f>'Kolam A3'!F13</f>
        <v>2</v>
      </c>
      <c r="E3" s="100"/>
      <c r="F3" s="100"/>
      <c r="G3" s="100">
        <f>'Kolam A6'!F13</f>
        <v>15</v>
      </c>
      <c r="H3" s="100"/>
      <c r="I3" s="100"/>
      <c r="L3" s="101">
        <f t="shared" ref="L3:S3" si="1">sum(C3:C13)</f>
        <v>187</v>
      </c>
      <c r="M3" s="102">
        <f t="shared" si="1"/>
        <v>70</v>
      </c>
      <c r="N3" s="101">
        <f t="shared" si="1"/>
        <v>205</v>
      </c>
      <c r="O3" s="101">
        <f t="shared" si="1"/>
        <v>63</v>
      </c>
      <c r="P3" s="101">
        <f t="shared" si="1"/>
        <v>485</v>
      </c>
      <c r="Q3" s="101">
        <f t="shared" si="1"/>
        <v>202</v>
      </c>
      <c r="R3" s="101">
        <f t="shared" si="1"/>
        <v>0</v>
      </c>
      <c r="S3" s="102">
        <f t="shared" si="1"/>
        <v>0</v>
      </c>
    </row>
    <row r="4">
      <c r="B4" s="99">
        <f>'Kolam A3'!A14</f>
        <v>46286</v>
      </c>
      <c r="C4" s="100">
        <f>'Kolam A3'!F14</f>
        <v>1</v>
      </c>
      <c r="G4" s="100">
        <f>'Kolam A6'!F14</f>
        <v>12</v>
      </c>
    </row>
    <row r="5">
      <c r="B5" s="99">
        <f>'Kolam A3'!A15</f>
        <v>46287</v>
      </c>
      <c r="C5" s="100">
        <f>'Kolam A3'!F15</f>
        <v>6</v>
      </c>
      <c r="G5" s="100">
        <f>'Kolam A6'!F15</f>
        <v>28</v>
      </c>
    </row>
    <row r="6">
      <c r="B6" s="99">
        <f>'Kolam A3'!A16</f>
        <v>46288</v>
      </c>
      <c r="C6" s="100">
        <f>'Kolam A3'!F16</f>
        <v>9</v>
      </c>
      <c r="G6" s="100">
        <f>'Kolam A6'!F16</f>
        <v>36</v>
      </c>
    </row>
    <row r="7">
      <c r="B7" s="99">
        <f>'Kolam A3'!A17</f>
        <v>46289</v>
      </c>
      <c r="C7" s="100">
        <f>'Kolam A3'!F17</f>
        <v>13</v>
      </c>
      <c r="E7" s="100">
        <f>'Kolam C3'!F13</f>
        <v>24</v>
      </c>
      <c r="F7" s="100">
        <f>'Kolam D3  Heru'!F13</f>
        <v>7</v>
      </c>
      <c r="G7" s="100">
        <f>'Kolam A6'!F17</f>
        <v>30</v>
      </c>
      <c r="H7" s="100">
        <f>'Kolam B6'!F13</f>
        <v>25</v>
      </c>
      <c r="I7" s="100">
        <f>'Kolam C6'!F13</f>
        <v>0</v>
      </c>
      <c r="J7" s="100">
        <f>'Kolam D6'!F13</f>
        <v>0</v>
      </c>
    </row>
    <row r="8">
      <c r="B8" s="99">
        <f>'Kolam A3'!A18</f>
        <v>46290</v>
      </c>
      <c r="C8" s="100">
        <f>'Kolam A3'!F18</f>
        <v>19</v>
      </c>
      <c r="D8" s="100">
        <f>'Kolam B3'!F13</f>
        <v>0</v>
      </c>
      <c r="E8" s="100">
        <f>'Kolam C3'!F14</f>
        <v>44</v>
      </c>
      <c r="F8" s="100">
        <f>'Kolam D3  Heru'!F14</f>
        <v>16</v>
      </c>
      <c r="G8" s="100">
        <f>'Kolam A6'!F18</f>
        <v>94</v>
      </c>
      <c r="H8" s="100">
        <f>'Kolam B6'!F14</f>
        <v>36</v>
      </c>
      <c r="I8" s="100">
        <f>'Kolam C6'!F14</f>
        <v>0</v>
      </c>
      <c r="J8" s="100">
        <f>'Kolam D6'!F14</f>
        <v>0</v>
      </c>
    </row>
    <row r="9">
      <c r="B9" s="99">
        <f>'Kolam A3'!A19</f>
        <v>46291</v>
      </c>
      <c r="C9" s="100">
        <f>'Kolam A3'!F19</f>
        <v>41</v>
      </c>
      <c r="D9" s="100">
        <f>'Kolam B3'!F14</f>
        <v>11</v>
      </c>
      <c r="E9" s="100">
        <f>'Kolam C3'!F15</f>
        <v>38</v>
      </c>
      <c r="F9" s="100">
        <f>'Kolam D3  Heru'!F15</f>
        <v>17</v>
      </c>
      <c r="G9" s="100">
        <f>'Kolam A6'!F19</f>
        <v>48</v>
      </c>
      <c r="H9" s="100">
        <f>'Kolam B6'!F15</f>
        <v>39</v>
      </c>
      <c r="I9" s="100" t="str">
        <f>'Kolam C6'!F15</f>
        <v/>
      </c>
      <c r="J9" s="100" t="str">
        <f>'Kolam D6'!F15</f>
        <v/>
      </c>
    </row>
    <row r="10">
      <c r="B10" s="99">
        <f>'Kolam A3'!A20</f>
        <v>46292</v>
      </c>
      <c r="C10" s="100">
        <f>'Kolam A3'!F20</f>
        <v>26</v>
      </c>
      <c r="D10" s="100">
        <f>'Kolam B3'!F15</f>
        <v>3</v>
      </c>
      <c r="E10" s="100">
        <f>'Kolam C3'!F16</f>
        <v>34</v>
      </c>
      <c r="F10" s="100">
        <f>'Kolam D3  Heru'!F16</f>
        <v>0</v>
      </c>
      <c r="G10" s="100">
        <f>'Kolam A6'!F20</f>
        <v>73</v>
      </c>
      <c r="H10" s="100">
        <f>'Kolam B6'!F16</f>
        <v>33</v>
      </c>
      <c r="I10" s="100" t="str">
        <f>'Kolam C6'!F16</f>
        <v/>
      </c>
      <c r="J10" s="100" t="str">
        <f>'Kolam D6'!F16</f>
        <v/>
      </c>
    </row>
    <row r="11">
      <c r="B11" s="99">
        <f>'Kolam A3'!A21</f>
        <v>46293</v>
      </c>
      <c r="C11" s="100">
        <f>'Kolam A3'!F21</f>
        <v>30</v>
      </c>
      <c r="D11" s="100">
        <f>'Kolam B3'!F16</f>
        <v>12</v>
      </c>
      <c r="E11" s="100">
        <f>'Kolam C3'!F17</f>
        <v>45</v>
      </c>
      <c r="F11" s="100">
        <f>'Kolam D3  Heru'!F17</f>
        <v>9</v>
      </c>
      <c r="G11" s="100">
        <f>'Kolam A6'!F21</f>
        <v>33</v>
      </c>
      <c r="H11" s="100">
        <f>'Kolam B6'!F17</f>
        <v>27</v>
      </c>
      <c r="I11" s="100" t="str">
        <f>'Kolam C6'!F17</f>
        <v/>
      </c>
      <c r="J11" s="100" t="str">
        <f>'Kolam D6'!F17</f>
        <v/>
      </c>
    </row>
    <row r="12">
      <c r="B12" s="99">
        <f>'Kolam A3'!A22</f>
        <v>46294</v>
      </c>
      <c r="C12" s="100">
        <f>'Kolam A3'!F22</f>
        <v>20</v>
      </c>
      <c r="D12" s="100">
        <f>'Kolam B3'!F17</f>
        <v>22</v>
      </c>
      <c r="E12" s="100">
        <f>'Kolam C3'!F18</f>
        <v>5</v>
      </c>
      <c r="F12" s="100">
        <f>'Kolam D3  Heru'!F18</f>
        <v>3</v>
      </c>
      <c r="G12" s="100">
        <f>'Kolam A6'!F22</f>
        <v>63</v>
      </c>
      <c r="H12" s="100">
        <f>'Kolam B6'!F18</f>
        <v>9</v>
      </c>
      <c r="I12" s="100" t="str">
        <f>'Kolam C6'!F18</f>
        <v/>
      </c>
      <c r="J12" s="100" t="str">
        <f>'Kolam D6'!F18</f>
        <v/>
      </c>
    </row>
    <row r="13">
      <c r="B13" s="99">
        <f>'Kolam A3'!A23</f>
        <v>46295</v>
      </c>
      <c r="C13" s="100">
        <f>'Kolam A3'!F23</f>
        <v>20</v>
      </c>
      <c r="D13" s="100">
        <f>'Kolam B3'!F18</f>
        <v>22</v>
      </c>
      <c r="E13" s="100">
        <f>'Kolam C3'!F19</f>
        <v>15</v>
      </c>
      <c r="F13" s="100">
        <f>'Kolam D3  Heru'!F19</f>
        <v>11</v>
      </c>
      <c r="G13" s="100">
        <f>'Kolam A6'!F23</f>
        <v>53</v>
      </c>
      <c r="H13" s="100">
        <f>'Kolam B6'!F19</f>
        <v>33</v>
      </c>
      <c r="I13" s="100" t="str">
        <f>'Kolam C6'!F19</f>
        <v/>
      </c>
      <c r="J13" s="100" t="str">
        <f>'Kolam D6'!F19</f>
        <v/>
      </c>
    </row>
  </sheetData>
  <mergeCells count="1">
    <mergeCell ref="L1:S1"/>
  </mergeCells>
  <drawing r:id="rId1"/>
</worksheet>
</file>